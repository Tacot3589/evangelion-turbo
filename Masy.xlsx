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"/>
    </mc:Choice>
  </mc:AlternateContent>
  <xr:revisionPtr revIDLastSave="0" documentId="13_ncr:1_{B65345E0-24FF-4381-A21B-3CA27883CC2D}" xr6:coauthVersionLast="47" xr6:coauthVersionMax="47" xr10:uidLastSave="{00000000-0000-0000-0000-000000000000}"/>
  <bookViews>
    <workbookView xWindow="-120" yWindow="480" windowWidth="38640" windowHeight="21240" xr2:uid="{1B89EA85-0D7B-4BD5-90E2-014B62B41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  <c r="B33" i="1"/>
  <c r="B32" i="1"/>
  <c r="B31" i="1"/>
  <c r="B30" i="1"/>
  <c r="B29" i="1"/>
  <c r="B16" i="1"/>
  <c r="B15" i="1"/>
  <c r="B12" i="1"/>
  <c r="B11" i="1"/>
  <c r="B10" i="1"/>
  <c r="B6" i="1"/>
  <c r="B5" i="1"/>
  <c r="B4" i="1"/>
  <c r="B3" i="1"/>
</calcChain>
</file>

<file path=xl/sharedStrings.xml><?xml version="1.0" encoding="utf-8"?>
<sst xmlns="http://schemas.openxmlformats.org/spreadsheetml/2006/main" count="40" uniqueCount="40">
  <si>
    <t>Nazwa</t>
  </si>
  <si>
    <t>Ilosc</t>
  </si>
  <si>
    <t>Masa [g]</t>
  </si>
  <si>
    <t>Felga SLS biała</t>
  </si>
  <si>
    <t>Obódowa LUNA</t>
  </si>
  <si>
    <t>Silnik</t>
  </si>
  <si>
    <t>PCB LUNA</t>
  </si>
  <si>
    <t>dach stal</t>
  </si>
  <si>
    <t>Przód aluminiowy</t>
  </si>
  <si>
    <t>Przód stalowy</t>
  </si>
  <si>
    <t>Tył aluminiowy</t>
  </si>
  <si>
    <t>Płóg stal #45</t>
  </si>
  <si>
    <t>Huby stalowe</t>
  </si>
  <si>
    <t>Wewnętrzny uchwyt na PCB, SLS</t>
  </si>
  <si>
    <t>Uchwyt LUNA, tylny</t>
  </si>
  <si>
    <t>Uchwyt wewnętrzny na łożysko igiełkowe, SLS</t>
  </si>
  <si>
    <t>Front mount, SLS</t>
  </si>
  <si>
    <t>Front mount, stal</t>
  </si>
  <si>
    <t>Left gearbox cover, SLS</t>
  </si>
  <si>
    <t>Right gearbox cover, SLS</t>
  </si>
  <si>
    <t>Right gearbox, SLS</t>
  </si>
  <si>
    <t>Left gearbox, SLS</t>
  </si>
  <si>
    <t>Left gearbox, stal</t>
  </si>
  <si>
    <t>Right gearbox, stal</t>
  </si>
  <si>
    <t>Right gearbox cover, stal</t>
  </si>
  <si>
    <t>Left gearbox cover, stal</t>
  </si>
  <si>
    <t>Lipo 3s 450mAh</t>
  </si>
  <si>
    <t>Line sensor</t>
  </si>
  <si>
    <t>Łożysko igiełkowe, wewnętrzne</t>
  </si>
  <si>
    <t>Zębatka z ośką</t>
  </si>
  <si>
    <t>Zębatka pośrednia</t>
  </si>
  <si>
    <t>Łożysko kulkowe flange, zewnętrzne</t>
  </si>
  <si>
    <t>Ośka do łożyska pośredniego 2mm</t>
  </si>
  <si>
    <t>Płóg stal S7</t>
  </si>
  <si>
    <t>Lipo 3S 300mAh</t>
  </si>
  <si>
    <t>Śruby, kabelki, elektronika</t>
  </si>
  <si>
    <t>RAZEM:</t>
  </si>
  <si>
    <t>Ilość 2</t>
  </si>
  <si>
    <t>Koło</t>
  </si>
  <si>
    <t>Front mount, 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</si>
</sst>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0"/>
      <color rgb="FFD6D0C8"/>
      <name val="Inherit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2" fontId="0" fillId="0" borderId="0" xfId="0" applyNumberFormat="1"/>
    <xf numFmtId="1" fontId="0" fillId="0" borderId="0" xfId="0" applyNumberFormat="1"/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2"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A5B60-EA04-4142-B839-02EF6ED8F311}" name="Table1" displayName="Table1" ref="A1:D1048576" totalsRowShown="0">
  <autoFilter ref="A1:D1048576" xr:uid="{EF7A5B60-EA04-4142-B839-02EF6ED8F311}"/>
  <tableColumns count="4">
    <tableColumn id="1" xr3:uid="{0124A995-F30B-461A-9456-EBD9F58DD7A2}" name="Nazwa"/>
    <tableColumn id="2" xr3:uid="{3EF73F92-A642-431A-AB3F-F7D05E855204}" name="Masa [g]" dataDxfId="1"/>
    <tableColumn id="3" xr3:uid="{E01C02C9-E6D1-454E-A3FA-A40F06E416F9}" name="Ilosc" dataDxfId="0"/>
    <tableColumn id="5" xr3:uid="{918F5BA3-B011-41A7-BEC6-AC260D50B21B}" name="Ilość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3BC4-6355-4647-A605-F1E7D1B0F2BA}">
  <dimension ref="A1:E40"/>
  <sheetViews>
    <sheetView tabSelected="1" zoomScale="130" zoomScaleNormal="130" workbookViewId="0">
      <selection activeCell="K18" sqref="K18"/>
    </sheetView>
  </sheetViews>
  <sheetFormatPr defaultRowHeight="15"/>
  <cols>
    <col min="1" max="1" width="42" customWidth="1"/>
    <col min="2" max="2" width="18.28515625" style="3" customWidth="1"/>
    <col min="3" max="3" width="16.140625" style="4" customWidth="1"/>
    <col min="4" max="4" width="15.42578125" customWidth="1"/>
    <col min="5" max="5" width="17.5703125" customWidth="1"/>
  </cols>
  <sheetData>
    <row r="1" spans="1:5" ht="18.75" customHeight="1" thickBot="1">
      <c r="A1" t="s">
        <v>0</v>
      </c>
      <c r="B1" s="3" t="s">
        <v>2</v>
      </c>
      <c r="C1" s="4" t="s">
        <v>1</v>
      </c>
      <c r="D1" t="s">
        <v>37</v>
      </c>
    </row>
    <row r="2" spans="1:5">
      <c r="A2" t="s">
        <v>38</v>
      </c>
      <c r="B2" s="3">
        <v>15</v>
      </c>
      <c r="C2" s="4">
        <v>2</v>
      </c>
      <c r="D2">
        <v>2</v>
      </c>
      <c r="E2" s="2"/>
    </row>
    <row r="3" spans="1:5" ht="15.75" thickBot="1">
      <c r="A3" t="s">
        <v>3</v>
      </c>
      <c r="B3" s="3">
        <f>11.6/4</f>
        <v>2.9</v>
      </c>
      <c r="C3" s="4">
        <v>0</v>
      </c>
      <c r="D3">
        <v>2</v>
      </c>
      <c r="E3" s="5"/>
    </row>
    <row r="4" spans="1:5">
      <c r="A4" t="s">
        <v>15</v>
      </c>
      <c r="B4" s="3">
        <f>2.8/4</f>
        <v>0.7</v>
      </c>
      <c r="C4" s="4">
        <v>2</v>
      </c>
      <c r="D4">
        <v>2</v>
      </c>
    </row>
    <row r="5" spans="1:5">
      <c r="A5" t="s">
        <v>4</v>
      </c>
      <c r="B5" s="3">
        <f>11.4/5</f>
        <v>2.2800000000000002</v>
      </c>
      <c r="C5" s="4">
        <v>4</v>
      </c>
      <c r="D5">
        <v>4</v>
      </c>
    </row>
    <row r="6" spans="1:5">
      <c r="A6" t="s">
        <v>14</v>
      </c>
      <c r="B6" s="3">
        <f>11.6/8</f>
        <v>1.45</v>
      </c>
      <c r="C6" s="4">
        <v>2</v>
      </c>
      <c r="D6">
        <v>2</v>
      </c>
    </row>
    <row r="7" spans="1:5">
      <c r="A7" t="s">
        <v>5</v>
      </c>
      <c r="B7" s="3">
        <v>86</v>
      </c>
      <c r="C7" s="4">
        <v>2</v>
      </c>
      <c r="D7">
        <v>2</v>
      </c>
      <c r="E7" s="1"/>
    </row>
    <row r="8" spans="1:5">
      <c r="A8" t="s">
        <v>6</v>
      </c>
      <c r="B8" s="3">
        <v>1.5</v>
      </c>
      <c r="C8" s="4">
        <v>4</v>
      </c>
      <c r="D8">
        <v>4</v>
      </c>
    </row>
    <row r="9" spans="1:5">
      <c r="A9" t="s">
        <v>7</v>
      </c>
      <c r="B9" s="3">
        <v>74</v>
      </c>
      <c r="C9" s="4">
        <v>1</v>
      </c>
      <c r="D9">
        <v>0</v>
      </c>
    </row>
    <row r="10" spans="1:5">
      <c r="A10" t="s">
        <v>8</v>
      </c>
      <c r="B10" s="3">
        <f>25.6/4</f>
        <v>6.4</v>
      </c>
      <c r="C10" s="4">
        <v>0</v>
      </c>
      <c r="D10">
        <v>0</v>
      </c>
    </row>
    <row r="11" spans="1:5">
      <c r="A11" t="s">
        <v>9</v>
      </c>
      <c r="B11" s="3">
        <f>52/3</f>
        <v>17.333333333333332</v>
      </c>
      <c r="C11" s="4">
        <v>1</v>
      </c>
      <c r="D11">
        <v>1</v>
      </c>
    </row>
    <row r="12" spans="1:5">
      <c r="A12" t="s">
        <v>10</v>
      </c>
      <c r="B12" s="3">
        <f>38.6/5</f>
        <v>7.7200000000000006</v>
      </c>
      <c r="C12" s="4">
        <v>1</v>
      </c>
      <c r="D12">
        <v>1</v>
      </c>
    </row>
    <row r="13" spans="1:5">
      <c r="A13" t="s">
        <v>11</v>
      </c>
      <c r="B13" s="3">
        <v>30</v>
      </c>
      <c r="C13" s="4">
        <v>0</v>
      </c>
      <c r="D13">
        <v>0</v>
      </c>
    </row>
    <row r="14" spans="1:5">
      <c r="A14" t="s">
        <v>33</v>
      </c>
      <c r="B14" s="3">
        <v>26</v>
      </c>
      <c r="C14" s="4">
        <v>1</v>
      </c>
      <c r="D14">
        <v>1</v>
      </c>
    </row>
    <row r="15" spans="1:5">
      <c r="A15" t="s">
        <v>12</v>
      </c>
      <c r="B15" s="3">
        <f>56/4</f>
        <v>14</v>
      </c>
      <c r="C15" s="4">
        <v>2</v>
      </c>
      <c r="D15">
        <v>0</v>
      </c>
    </row>
    <row r="16" spans="1:5">
      <c r="A16" t="s">
        <v>13</v>
      </c>
      <c r="B16" s="3">
        <f>4.5/2</f>
        <v>2.25</v>
      </c>
      <c r="C16" s="4">
        <v>1</v>
      </c>
      <c r="D16">
        <v>1</v>
      </c>
    </row>
    <row r="17" spans="1:4">
      <c r="A17" t="s">
        <v>16</v>
      </c>
      <c r="B17" s="3">
        <v>15.8</v>
      </c>
      <c r="C17" s="4">
        <v>0</v>
      </c>
      <c r="D17">
        <v>1</v>
      </c>
    </row>
    <row r="18" spans="1:4">
      <c r="A18" t="s">
        <v>39</v>
      </c>
      <c r="B18" s="3">
        <v>50</v>
      </c>
      <c r="C18" s="4">
        <v>0</v>
      </c>
      <c r="D18">
        <v>1</v>
      </c>
    </row>
    <row r="19" spans="1:4">
      <c r="A19" t="s">
        <v>17</v>
      </c>
      <c r="B19" s="3">
        <v>136</v>
      </c>
      <c r="C19" s="4">
        <v>1</v>
      </c>
      <c r="D19">
        <v>0</v>
      </c>
    </row>
    <row r="20" spans="1:4">
      <c r="A20" t="s">
        <v>18</v>
      </c>
      <c r="B20" s="3">
        <v>4.0999999999999996</v>
      </c>
      <c r="C20" s="4">
        <v>0</v>
      </c>
      <c r="D20">
        <v>1</v>
      </c>
    </row>
    <row r="21" spans="1:4">
      <c r="A21" t="s">
        <v>25</v>
      </c>
      <c r="B21" s="3">
        <v>39</v>
      </c>
      <c r="C21" s="4">
        <v>1</v>
      </c>
      <c r="D21">
        <v>0</v>
      </c>
    </row>
    <row r="22" spans="1:4">
      <c r="A22" t="s">
        <v>19</v>
      </c>
      <c r="B22" s="3">
        <v>4.0999999999999996</v>
      </c>
      <c r="C22" s="4">
        <v>0</v>
      </c>
      <c r="D22">
        <v>1</v>
      </c>
    </row>
    <row r="23" spans="1:4">
      <c r="A23" t="s">
        <v>24</v>
      </c>
      <c r="B23" s="3">
        <v>39</v>
      </c>
      <c r="C23" s="4">
        <v>1</v>
      </c>
      <c r="D23">
        <v>0</v>
      </c>
    </row>
    <row r="24" spans="1:4">
      <c r="A24" t="s">
        <v>21</v>
      </c>
      <c r="B24" s="3">
        <v>8.1</v>
      </c>
      <c r="C24" s="4">
        <v>0</v>
      </c>
      <c r="D24">
        <v>1</v>
      </c>
    </row>
    <row r="25" spans="1:4">
      <c r="A25" t="s">
        <v>22</v>
      </c>
      <c r="B25" s="3">
        <v>70.5</v>
      </c>
      <c r="C25" s="4">
        <v>1</v>
      </c>
      <c r="D25">
        <v>0</v>
      </c>
    </row>
    <row r="26" spans="1:4">
      <c r="A26" t="s">
        <v>20</v>
      </c>
      <c r="B26" s="3">
        <v>8.1</v>
      </c>
      <c r="C26" s="4">
        <v>0</v>
      </c>
      <c r="D26">
        <v>1</v>
      </c>
    </row>
    <row r="27" spans="1:4">
      <c r="A27" t="s">
        <v>23</v>
      </c>
      <c r="B27" s="3">
        <v>70.5</v>
      </c>
      <c r="C27" s="4">
        <v>1</v>
      </c>
      <c r="D27">
        <v>0</v>
      </c>
    </row>
    <row r="28" spans="1:4">
      <c r="A28" t="s">
        <v>27</v>
      </c>
      <c r="B28" s="3">
        <v>1</v>
      </c>
      <c r="C28" s="4">
        <v>4</v>
      </c>
      <c r="D28">
        <v>4</v>
      </c>
    </row>
    <row r="29" spans="1:4">
      <c r="A29" t="s">
        <v>28</v>
      </c>
      <c r="B29" s="3">
        <f>3.3/2</f>
        <v>1.65</v>
      </c>
      <c r="C29" s="4">
        <v>2</v>
      </c>
      <c r="D29">
        <v>2</v>
      </c>
    </row>
    <row r="30" spans="1:4">
      <c r="A30" t="s">
        <v>29</v>
      </c>
      <c r="B30" s="3">
        <f>21.6/2</f>
        <v>10.8</v>
      </c>
      <c r="C30" s="4">
        <v>2</v>
      </c>
      <c r="D30">
        <v>2</v>
      </c>
    </row>
    <row r="31" spans="1:4">
      <c r="A31" t="s">
        <v>30</v>
      </c>
      <c r="B31" s="3">
        <f>6.6/2</f>
        <v>3.3</v>
      </c>
      <c r="C31" s="4">
        <v>2</v>
      </c>
      <c r="D31">
        <v>2</v>
      </c>
    </row>
    <row r="32" spans="1:4">
      <c r="A32" t="s">
        <v>31</v>
      </c>
      <c r="B32" s="3">
        <f>1.6/2</f>
        <v>0.8</v>
      </c>
      <c r="C32" s="4">
        <v>2</v>
      </c>
      <c r="D32">
        <v>2</v>
      </c>
    </row>
    <row r="33" spans="1:4">
      <c r="A33" t="s">
        <v>32</v>
      </c>
      <c r="B33" s="3">
        <f>1/2</f>
        <v>0.5</v>
      </c>
      <c r="C33" s="4">
        <v>2</v>
      </c>
      <c r="D33">
        <v>2</v>
      </c>
    </row>
    <row r="34" spans="1:4">
      <c r="A34" t="s">
        <v>26</v>
      </c>
      <c r="B34" s="3">
        <v>39</v>
      </c>
      <c r="C34" s="4">
        <v>0</v>
      </c>
      <c r="D34">
        <v>0</v>
      </c>
    </row>
    <row r="35" spans="1:4">
      <c r="A35" t="s">
        <v>34</v>
      </c>
      <c r="B35" s="3">
        <v>22.5</v>
      </c>
      <c r="C35" s="4">
        <v>1</v>
      </c>
      <c r="D35">
        <v>1</v>
      </c>
    </row>
    <row r="36" spans="1:4">
      <c r="A36" t="s">
        <v>35</v>
      </c>
      <c r="B36" s="3">
        <v>53</v>
      </c>
      <c r="C36" s="4">
        <v>1</v>
      </c>
      <c r="D36">
        <v>1</v>
      </c>
    </row>
    <row r="40" spans="1:4">
      <c r="A40" t="s">
        <v>36</v>
      </c>
      <c r="C40" s="3">
        <f>SUMPRODUCT(B2:B39,C2:C39)</f>
        <v>845.32333333333338</v>
      </c>
      <c r="D40" s="3">
        <f>SUMPRODUCT(B2:B39,D2:D39)</f>
        <v>484.32333333333349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2026-06-12T15:14:01Z</dcterms:created>
  <dcterms:modified xsi:type="dcterms:W3CDTF">2026-10-15T16:52:15Z</dcterms:modified>
</cp:coreProperties>
</file>