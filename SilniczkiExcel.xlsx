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ch\robotyka\robots\evangelion-turbo\"/>
    </mc:Choice>
  </mc:AlternateContent>
  <xr:revisionPtr revIDLastSave="0" documentId="13_ncr:1_{6C32340E-C491-453E-9D71-F9DF8B18EB89}" xr6:coauthVersionLast="47" xr6:coauthVersionMax="47" xr10:uidLastSave="{00000000-0000-0000-0000-000000000000}"/>
  <bookViews>
    <workbookView xWindow="-120" yWindow="480" windowWidth="38640" windowHeight="21240" xr2:uid="{511008C5-3BC9-4B59-854A-53C66BDAD28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6" i="2" l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G3" i="2"/>
  <c r="H3" i="2" s="1"/>
  <c r="I3" i="2"/>
  <c r="J3" i="2" s="1"/>
  <c r="M3" i="2"/>
  <c r="G4" i="2"/>
  <c r="N4" i="2" s="1"/>
  <c r="I4" i="2"/>
  <c r="M4" i="2"/>
  <c r="G5" i="2"/>
  <c r="I5" i="2"/>
  <c r="M5" i="2"/>
  <c r="G6" i="2"/>
  <c r="I6" i="2"/>
  <c r="M6" i="2"/>
  <c r="G7" i="2"/>
  <c r="I7" i="2"/>
  <c r="M7" i="2"/>
  <c r="G8" i="2"/>
  <c r="N8" i="2" s="1"/>
  <c r="I8" i="2"/>
  <c r="M8" i="2"/>
  <c r="G9" i="2"/>
  <c r="N9" i="2" s="1"/>
  <c r="I9" i="2"/>
  <c r="M9" i="2"/>
  <c r="G10" i="2"/>
  <c r="N10" i="2" s="1"/>
  <c r="I10" i="2"/>
  <c r="M10" i="2"/>
  <c r="G11" i="2"/>
  <c r="I11" i="2"/>
  <c r="M11" i="2"/>
  <c r="G12" i="2"/>
  <c r="N12" i="2" s="1"/>
  <c r="I12" i="2"/>
  <c r="M12" i="2"/>
  <c r="G13" i="2"/>
  <c r="I13" i="2"/>
  <c r="M13" i="2"/>
  <c r="G14" i="2"/>
  <c r="N14" i="2" s="1"/>
  <c r="I14" i="2"/>
  <c r="M14" i="2"/>
  <c r="G15" i="2"/>
  <c r="I15" i="2"/>
  <c r="M15" i="2"/>
  <c r="G16" i="2"/>
  <c r="N16" i="2" s="1"/>
  <c r="I16" i="2"/>
  <c r="M16" i="2"/>
  <c r="G17" i="2"/>
  <c r="N17" i="2" s="1"/>
  <c r="I17" i="2"/>
  <c r="J17" i="2" s="1"/>
  <c r="M17" i="2"/>
  <c r="G18" i="2"/>
  <c r="N18" i="2" s="1"/>
  <c r="I18" i="2"/>
  <c r="M18" i="2"/>
  <c r="G19" i="2"/>
  <c r="H19" i="2" s="1"/>
  <c r="I19" i="2"/>
  <c r="M19" i="2"/>
  <c r="G20" i="2"/>
  <c r="N20" i="2" s="1"/>
  <c r="I20" i="2"/>
  <c r="M20" i="2"/>
  <c r="G21" i="2"/>
  <c r="I21" i="2"/>
  <c r="M21" i="2"/>
  <c r="G22" i="2"/>
  <c r="N22" i="2" s="1"/>
  <c r="I22" i="2"/>
  <c r="M22" i="2"/>
  <c r="G23" i="2"/>
  <c r="I23" i="2"/>
  <c r="M23" i="2"/>
  <c r="N23" i="2"/>
  <c r="G24" i="2"/>
  <c r="N24" i="2" s="1"/>
  <c r="H24" i="2"/>
  <c r="I24" i="2"/>
  <c r="M24" i="2"/>
  <c r="G25" i="2"/>
  <c r="N25" i="2" s="1"/>
  <c r="I25" i="2"/>
  <c r="M25" i="2"/>
  <c r="G26" i="2"/>
  <c r="I26" i="2"/>
  <c r="M26" i="2"/>
  <c r="N26" i="2"/>
  <c r="G27" i="2"/>
  <c r="N27" i="2" s="1"/>
  <c r="I27" i="2"/>
  <c r="M27" i="2"/>
  <c r="G28" i="2"/>
  <c r="N28" i="2" s="1"/>
  <c r="I28" i="2"/>
  <c r="J28" i="2" s="1"/>
  <c r="M28" i="2"/>
  <c r="G29" i="2"/>
  <c r="H29" i="2" s="1"/>
  <c r="I29" i="2"/>
  <c r="M29" i="2"/>
  <c r="G30" i="2"/>
  <c r="N30" i="2" s="1"/>
  <c r="I30" i="2"/>
  <c r="M30" i="2"/>
  <c r="G31" i="2"/>
  <c r="I31" i="2"/>
  <c r="M31" i="2"/>
  <c r="G32" i="2"/>
  <c r="N32" i="2" s="1"/>
  <c r="I32" i="2"/>
  <c r="M32" i="2"/>
  <c r="G33" i="2"/>
  <c r="N33" i="2" s="1"/>
  <c r="I33" i="2"/>
  <c r="M33" i="2"/>
  <c r="G34" i="2"/>
  <c r="H34" i="2" s="1"/>
  <c r="I34" i="2"/>
  <c r="M34" i="2"/>
  <c r="G35" i="2"/>
  <c r="N35" i="2" s="1"/>
  <c r="I35" i="2"/>
  <c r="M35" i="2"/>
  <c r="G36" i="2"/>
  <c r="I36" i="2"/>
  <c r="M36" i="2"/>
  <c r="G37" i="2"/>
  <c r="I37" i="2"/>
  <c r="M37" i="2"/>
  <c r="G38" i="2"/>
  <c r="I38" i="2"/>
  <c r="M38" i="2"/>
  <c r="G39" i="2"/>
  <c r="I39" i="2"/>
  <c r="M39" i="2"/>
  <c r="G40" i="2"/>
  <c r="H40" i="2"/>
  <c r="P40" i="2" s="1"/>
  <c r="I40" i="2"/>
  <c r="M40" i="2"/>
  <c r="N40" i="2"/>
  <c r="G41" i="2"/>
  <c r="N41" i="2" s="1"/>
  <c r="I41" i="2"/>
  <c r="M41" i="2"/>
  <c r="G42" i="2"/>
  <c r="N42" i="2" s="1"/>
  <c r="I42" i="2"/>
  <c r="M42" i="2"/>
  <c r="G43" i="2"/>
  <c r="N43" i="2" s="1"/>
  <c r="I43" i="2"/>
  <c r="M43" i="2"/>
  <c r="G44" i="2"/>
  <c r="I44" i="2"/>
  <c r="M44" i="2"/>
  <c r="G45" i="2"/>
  <c r="I45" i="2"/>
  <c r="M45" i="2"/>
  <c r="G46" i="2"/>
  <c r="I46" i="2"/>
  <c r="M46" i="2"/>
  <c r="G47" i="2"/>
  <c r="I47" i="2"/>
  <c r="M47" i="2"/>
  <c r="G48" i="2"/>
  <c r="I48" i="2"/>
  <c r="M48" i="2"/>
  <c r="G49" i="2"/>
  <c r="N49" i="2" s="1"/>
  <c r="I49" i="2"/>
  <c r="M49" i="2"/>
  <c r="G50" i="2"/>
  <c r="N50" i="2" s="1"/>
  <c r="I50" i="2"/>
  <c r="M50" i="2"/>
  <c r="G51" i="2"/>
  <c r="N51" i="2" s="1"/>
  <c r="I51" i="2"/>
  <c r="M51" i="2"/>
  <c r="G52" i="2"/>
  <c r="N52" i="2" s="1"/>
  <c r="I52" i="2"/>
  <c r="M52" i="2"/>
  <c r="G53" i="2"/>
  <c r="N53" i="2" s="1"/>
  <c r="I53" i="2"/>
  <c r="M53" i="2"/>
  <c r="G54" i="2"/>
  <c r="I54" i="2"/>
  <c r="M54" i="2"/>
  <c r="G55" i="2"/>
  <c r="I55" i="2"/>
  <c r="M55" i="2"/>
  <c r="G56" i="2"/>
  <c r="H56" i="2" s="1"/>
  <c r="I56" i="2"/>
  <c r="M56" i="2"/>
  <c r="G57" i="2"/>
  <c r="N57" i="2" s="1"/>
  <c r="I57" i="2"/>
  <c r="J57" i="2" s="1"/>
  <c r="M57" i="2"/>
  <c r="G58" i="2"/>
  <c r="N58" i="2" s="1"/>
  <c r="I58" i="2"/>
  <c r="M58" i="2"/>
  <c r="G59" i="2"/>
  <c r="N59" i="2" s="1"/>
  <c r="H59" i="2"/>
  <c r="O59" i="2" s="1"/>
  <c r="I59" i="2"/>
  <c r="M59" i="2"/>
  <c r="G60" i="2"/>
  <c r="N60" i="2" s="1"/>
  <c r="I60" i="2"/>
  <c r="M60" i="2"/>
  <c r="G61" i="2"/>
  <c r="N61" i="2" s="1"/>
  <c r="I61" i="2"/>
  <c r="M61" i="2"/>
  <c r="G62" i="2"/>
  <c r="I62" i="2"/>
  <c r="M62" i="2"/>
  <c r="G63" i="2"/>
  <c r="N63" i="2" s="1"/>
  <c r="I63" i="2"/>
  <c r="M63" i="2"/>
  <c r="G64" i="2"/>
  <c r="N64" i="2" s="1"/>
  <c r="I64" i="2"/>
  <c r="M64" i="2"/>
  <c r="G65" i="2"/>
  <c r="N65" i="2" s="1"/>
  <c r="I65" i="2"/>
  <c r="M65" i="2"/>
  <c r="G66" i="2"/>
  <c r="H66" i="2" s="1"/>
  <c r="I66" i="2"/>
  <c r="M66" i="2"/>
  <c r="G67" i="2"/>
  <c r="H67" i="2" s="1"/>
  <c r="I67" i="2"/>
  <c r="M67" i="2"/>
  <c r="G68" i="2"/>
  <c r="H68" i="2" s="1"/>
  <c r="I68" i="2"/>
  <c r="J68" i="2" s="1"/>
  <c r="M68" i="2"/>
  <c r="G69" i="2"/>
  <c r="I69" i="2"/>
  <c r="M69" i="2"/>
  <c r="G70" i="2"/>
  <c r="N70" i="2" s="1"/>
  <c r="H70" i="2"/>
  <c r="I70" i="2"/>
  <c r="M70" i="2"/>
  <c r="G71" i="2"/>
  <c r="I71" i="2"/>
  <c r="M71" i="2"/>
  <c r="N71" i="2"/>
  <c r="G72" i="2"/>
  <c r="N72" i="2" s="1"/>
  <c r="I72" i="2"/>
  <c r="M72" i="2"/>
  <c r="G73" i="2"/>
  <c r="N73" i="2" s="1"/>
  <c r="I73" i="2"/>
  <c r="M73" i="2"/>
  <c r="G74" i="2"/>
  <c r="N74" i="2" s="1"/>
  <c r="I74" i="2"/>
  <c r="J74" i="2" s="1"/>
  <c r="M74" i="2"/>
  <c r="G75" i="2"/>
  <c r="H75" i="2" s="1"/>
  <c r="P75" i="2" s="1"/>
  <c r="I75" i="2"/>
  <c r="M75" i="2"/>
  <c r="G76" i="2"/>
  <c r="N76" i="2" s="1"/>
  <c r="I76" i="2"/>
  <c r="M76" i="2"/>
  <c r="G77" i="2"/>
  <c r="N77" i="2" s="1"/>
  <c r="I77" i="2"/>
  <c r="M77" i="2"/>
  <c r="G78" i="2"/>
  <c r="N78" i="2" s="1"/>
  <c r="I78" i="2"/>
  <c r="M78" i="2"/>
  <c r="G79" i="2"/>
  <c r="I79" i="2"/>
  <c r="M79" i="2"/>
  <c r="N79" i="2"/>
  <c r="G80" i="2"/>
  <c r="I80" i="2"/>
  <c r="M80" i="2"/>
  <c r="G81" i="2"/>
  <c r="N81" i="2" s="1"/>
  <c r="I81" i="2"/>
  <c r="M81" i="2"/>
  <c r="G82" i="2"/>
  <c r="N82" i="2" s="1"/>
  <c r="I82" i="2"/>
  <c r="M82" i="2"/>
  <c r="G83" i="2"/>
  <c r="N83" i="2" s="1"/>
  <c r="I83" i="2"/>
  <c r="M83" i="2"/>
  <c r="G84" i="2"/>
  <c r="H84" i="2" s="1"/>
  <c r="I84" i="2"/>
  <c r="M84" i="2"/>
  <c r="G85" i="2"/>
  <c r="I85" i="2"/>
  <c r="M85" i="2"/>
  <c r="G86" i="2"/>
  <c r="N86" i="2" s="1"/>
  <c r="I86" i="2"/>
  <c r="M86" i="2"/>
  <c r="G87" i="2"/>
  <c r="N87" i="2" s="1"/>
  <c r="H87" i="2"/>
  <c r="O87" i="2" s="1"/>
  <c r="I87" i="2"/>
  <c r="M87" i="2"/>
  <c r="G88" i="2"/>
  <c r="I88" i="2"/>
  <c r="M88" i="2"/>
  <c r="G89" i="2"/>
  <c r="N89" i="2" s="1"/>
  <c r="I89" i="2"/>
  <c r="M89" i="2"/>
  <c r="G90" i="2"/>
  <c r="N90" i="2" s="1"/>
  <c r="I90" i="2"/>
  <c r="M90" i="2"/>
  <c r="G91" i="2"/>
  <c r="N91" i="2" s="1"/>
  <c r="H91" i="2"/>
  <c r="I91" i="2"/>
  <c r="M91" i="2"/>
  <c r="G92" i="2"/>
  <c r="I92" i="2"/>
  <c r="M92" i="2"/>
  <c r="G93" i="2"/>
  <c r="I93" i="2"/>
  <c r="M93" i="2"/>
  <c r="G94" i="2"/>
  <c r="N94" i="2" s="1"/>
  <c r="I94" i="2"/>
  <c r="M94" i="2"/>
  <c r="G95" i="2"/>
  <c r="I95" i="2"/>
  <c r="M95" i="2"/>
  <c r="G96" i="2"/>
  <c r="I96" i="2"/>
  <c r="J96" i="2" s="1"/>
  <c r="M96" i="2"/>
  <c r="N96" i="2"/>
  <c r="G97" i="2"/>
  <c r="N97" i="2" s="1"/>
  <c r="I97" i="2"/>
  <c r="M97" i="2"/>
  <c r="G98" i="2"/>
  <c r="H98" i="2"/>
  <c r="I98" i="2"/>
  <c r="M98" i="2"/>
  <c r="G99" i="2"/>
  <c r="H99" i="2" s="1"/>
  <c r="I99" i="2"/>
  <c r="M99" i="2"/>
  <c r="G100" i="2"/>
  <c r="I100" i="2"/>
  <c r="M100" i="2"/>
  <c r="G101" i="2"/>
  <c r="I101" i="2"/>
  <c r="M101" i="2"/>
  <c r="G102" i="2"/>
  <c r="N102" i="2" s="1"/>
  <c r="I102" i="2"/>
  <c r="M102" i="2"/>
  <c r="G103" i="2"/>
  <c r="N103" i="2" s="1"/>
  <c r="I103" i="2"/>
  <c r="M103" i="2"/>
  <c r="G104" i="2"/>
  <c r="H104" i="2" s="1"/>
  <c r="I104" i="2"/>
  <c r="M104" i="2"/>
  <c r="G105" i="2"/>
  <c r="N105" i="2" s="1"/>
  <c r="I105" i="2"/>
  <c r="M105" i="2"/>
  <c r="G106" i="2"/>
  <c r="I106" i="2"/>
  <c r="M106" i="2"/>
  <c r="G107" i="2"/>
  <c r="I107" i="2"/>
  <c r="M107" i="2"/>
  <c r="G108" i="2"/>
  <c r="I108" i="2"/>
  <c r="M108" i="2"/>
  <c r="G109" i="2"/>
  <c r="I109" i="2"/>
  <c r="M109" i="2"/>
  <c r="G110" i="2"/>
  <c r="N110" i="2" s="1"/>
  <c r="I110" i="2"/>
  <c r="M110" i="2"/>
  <c r="G111" i="2"/>
  <c r="I111" i="2"/>
  <c r="M111" i="2"/>
  <c r="G112" i="2"/>
  <c r="I112" i="2"/>
  <c r="M112" i="2"/>
  <c r="G113" i="2"/>
  <c r="N113" i="2" s="1"/>
  <c r="I113" i="2"/>
  <c r="M113" i="2"/>
  <c r="G114" i="2"/>
  <c r="H114" i="2" s="1"/>
  <c r="I114" i="2"/>
  <c r="M114" i="2"/>
  <c r="G2" i="2"/>
  <c r="I2" i="2"/>
  <c r="M2" i="2"/>
  <c r="J71" i="2" l="1"/>
  <c r="H48" i="2"/>
  <c r="H112" i="2"/>
  <c r="H10" i="2"/>
  <c r="H5" i="2"/>
  <c r="H90" i="2"/>
  <c r="H74" i="2"/>
  <c r="H96" i="2"/>
  <c r="J65" i="2"/>
  <c r="H22" i="2"/>
  <c r="H4" i="2"/>
  <c r="O4" i="2" s="1"/>
  <c r="H95" i="2"/>
  <c r="J23" i="2"/>
  <c r="J90" i="2"/>
  <c r="H64" i="2"/>
  <c r="P64" i="2" s="1"/>
  <c r="H32" i="2"/>
  <c r="K32" i="2" s="1"/>
  <c r="H79" i="2"/>
  <c r="O79" i="2" s="1"/>
  <c r="H63" i="2"/>
  <c r="O63" i="2" s="1"/>
  <c r="H110" i="2"/>
  <c r="H85" i="2"/>
  <c r="H80" i="2"/>
  <c r="K80" i="2" s="1"/>
  <c r="H36" i="2"/>
  <c r="O36" i="2" s="1"/>
  <c r="J16" i="2"/>
  <c r="H11" i="2"/>
  <c r="J55" i="2"/>
  <c r="H15" i="2"/>
  <c r="O15" i="2" s="1"/>
  <c r="J83" i="2"/>
  <c r="J112" i="2"/>
  <c r="H83" i="2"/>
  <c r="L83" i="2" s="1"/>
  <c r="J49" i="2"/>
  <c r="H44" i="2"/>
  <c r="O44" i="2" s="1"/>
  <c r="H101" i="2"/>
  <c r="K101" i="2" s="1"/>
  <c r="H52" i="2"/>
  <c r="O52" i="2" s="1"/>
  <c r="J107" i="2"/>
  <c r="H106" i="2"/>
  <c r="L106" i="2" s="1"/>
  <c r="J42" i="2"/>
  <c r="J6" i="2"/>
  <c r="H2" i="2"/>
  <c r="H58" i="2"/>
  <c r="O58" i="2" s="1"/>
  <c r="H35" i="2"/>
  <c r="L35" i="2" s="1"/>
  <c r="H16" i="2"/>
  <c r="H77" i="2"/>
  <c r="K10" i="2"/>
  <c r="H94" i="2"/>
  <c r="K94" i="2" s="1"/>
  <c r="J38" i="2"/>
  <c r="J47" i="2"/>
  <c r="H42" i="2"/>
  <c r="P42" i="2" s="1"/>
  <c r="H105" i="2"/>
  <c r="K105" i="2" s="1"/>
  <c r="N104" i="2"/>
  <c r="J51" i="2"/>
  <c r="J87" i="2"/>
  <c r="H100" i="2"/>
  <c r="O100" i="2" s="1"/>
  <c r="H82" i="2"/>
  <c r="P82" i="2" s="1"/>
  <c r="N68" i="2"/>
  <c r="J64" i="2"/>
  <c r="J18" i="2"/>
  <c r="N3" i="2"/>
  <c r="H71" i="2"/>
  <c r="O71" i="2" s="1"/>
  <c r="J104" i="2"/>
  <c r="J59" i="2"/>
  <c r="H51" i="2"/>
  <c r="O51" i="2" s="1"/>
  <c r="H8" i="2"/>
  <c r="K8" i="2" s="1"/>
  <c r="H102" i="2"/>
  <c r="P102" i="2" s="1"/>
  <c r="H86" i="2"/>
  <c r="K86" i="2" s="1"/>
  <c r="H54" i="2"/>
  <c r="K54" i="2" s="1"/>
  <c r="N112" i="2"/>
  <c r="J103" i="2"/>
  <c r="H50" i="2"/>
  <c r="O50" i="2" s="1"/>
  <c r="H45" i="2"/>
  <c r="K45" i="2" s="1"/>
  <c r="J40" i="2"/>
  <c r="J35" i="2"/>
  <c r="H31" i="2"/>
  <c r="O31" i="2" s="1"/>
  <c r="H26" i="2"/>
  <c r="K26" i="2" s="1"/>
  <c r="H7" i="2"/>
  <c r="O7" i="2" s="1"/>
  <c r="H111" i="2"/>
  <c r="L111" i="2" s="1"/>
  <c r="J95" i="2"/>
  <c r="J82" i="2"/>
  <c r="J58" i="2"/>
  <c r="J50" i="2"/>
  <c r="H78" i="2"/>
  <c r="K78" i="2" s="1"/>
  <c r="H62" i="2"/>
  <c r="K62" i="2" s="1"/>
  <c r="H46" i="2"/>
  <c r="K46" i="2" s="1"/>
  <c r="H14" i="2"/>
  <c r="K14" i="2" s="1"/>
  <c r="J62" i="2"/>
  <c r="K90" i="2"/>
  <c r="H53" i="2"/>
  <c r="H60" i="2"/>
  <c r="O60" i="2" s="1"/>
  <c r="K98" i="2"/>
  <c r="L4" i="2"/>
  <c r="H27" i="2"/>
  <c r="K27" i="2" s="1"/>
  <c r="L74" i="2"/>
  <c r="P4" i="2"/>
  <c r="J105" i="2"/>
  <c r="J98" i="2"/>
  <c r="H69" i="2"/>
  <c r="K69" i="2" s="1"/>
  <c r="H61" i="2"/>
  <c r="O61" i="2" s="1"/>
  <c r="N56" i="2"/>
  <c r="N48" i="2"/>
  <c r="H13" i="2"/>
  <c r="L13" i="2" s="1"/>
  <c r="J8" i="2"/>
  <c r="J4" i="2"/>
  <c r="J56" i="2"/>
  <c r="J48" i="2"/>
  <c r="J25" i="2"/>
  <c r="J12" i="2"/>
  <c r="N100" i="2"/>
  <c r="N75" i="2"/>
  <c r="J100" i="2"/>
  <c r="J92" i="2"/>
  <c r="H47" i="2"/>
  <c r="L47" i="2" s="1"/>
  <c r="N6" i="2"/>
  <c r="N67" i="2"/>
  <c r="J75" i="2"/>
  <c r="J63" i="2"/>
  <c r="H55" i="2"/>
  <c r="P55" i="2" s="1"/>
  <c r="H28" i="2"/>
  <c r="O28" i="2" s="1"/>
  <c r="J20" i="2"/>
  <c r="J2" i="2"/>
  <c r="J111" i="2"/>
  <c r="H107" i="2"/>
  <c r="L107" i="2" s="1"/>
  <c r="N36" i="2"/>
  <c r="J32" i="2"/>
  <c r="H20" i="2"/>
  <c r="O20" i="2" s="1"/>
  <c r="J15" i="2"/>
  <c r="L91" i="2"/>
  <c r="K42" i="2"/>
  <c r="K85" i="2"/>
  <c r="J108" i="2"/>
  <c r="J93" i="2"/>
  <c r="J109" i="2"/>
  <c r="J101" i="2"/>
  <c r="J88" i="2"/>
  <c r="J30" i="2"/>
  <c r="J27" i="2"/>
  <c r="K77" i="2"/>
  <c r="K16" i="2"/>
  <c r="K75" i="2"/>
  <c r="K114" i="2"/>
  <c r="L67" i="2"/>
  <c r="K24" i="2"/>
  <c r="J114" i="2"/>
  <c r="J67" i="2"/>
  <c r="J79" i="2"/>
  <c r="L59" i="2"/>
  <c r="H23" i="2"/>
  <c r="P23" i="2" s="1"/>
  <c r="H39" i="2"/>
  <c r="K39" i="2" s="1"/>
  <c r="L58" i="2"/>
  <c r="L87" i="2"/>
  <c r="H37" i="2"/>
  <c r="K37" i="2" s="1"/>
  <c r="P32" i="2"/>
  <c r="H103" i="2"/>
  <c r="O103" i="2" s="1"/>
  <c r="K87" i="2"/>
  <c r="H21" i="2"/>
  <c r="P21" i="2" s="1"/>
  <c r="P10" i="2"/>
  <c r="K56" i="2"/>
  <c r="P56" i="2"/>
  <c r="K112" i="2"/>
  <c r="P112" i="2"/>
  <c r="K34" i="2"/>
  <c r="L34" i="2"/>
  <c r="O34" i="2"/>
  <c r="P34" i="2"/>
  <c r="K66" i="2"/>
  <c r="O66" i="2"/>
  <c r="L66" i="2"/>
  <c r="P66" i="2"/>
  <c r="K48" i="2"/>
  <c r="P48" i="2"/>
  <c r="P26" i="2"/>
  <c r="K96" i="2"/>
  <c r="P96" i="2"/>
  <c r="O84" i="2"/>
  <c r="L84" i="2"/>
  <c r="P80" i="2"/>
  <c r="K104" i="2"/>
  <c r="P104" i="2"/>
  <c r="K106" i="2"/>
  <c r="P106" i="2"/>
  <c r="K99" i="2"/>
  <c r="L99" i="2"/>
  <c r="O99" i="2"/>
  <c r="P99" i="2"/>
  <c r="O68" i="2"/>
  <c r="L68" i="2"/>
  <c r="O95" i="2"/>
  <c r="K95" i="2"/>
  <c r="L95" i="2"/>
  <c r="N99" i="2"/>
  <c r="N106" i="2"/>
  <c r="H113" i="2"/>
  <c r="O113" i="2" s="1"/>
  <c r="H108" i="2"/>
  <c r="K108" i="2" s="1"/>
  <c r="J106" i="2"/>
  <c r="J99" i="2"/>
  <c r="H97" i="2"/>
  <c r="L97" i="2" s="1"/>
  <c r="H92" i="2"/>
  <c r="K92" i="2" s="1"/>
  <c r="L90" i="2"/>
  <c r="H88" i="2"/>
  <c r="L88" i="2" s="1"/>
  <c r="J81" i="2"/>
  <c r="J76" i="2"/>
  <c r="H72" i="2"/>
  <c r="H38" i="2"/>
  <c r="K38" i="2" s="1"/>
  <c r="K35" i="2"/>
  <c r="N11" i="2"/>
  <c r="P91" i="2"/>
  <c r="H81" i="2"/>
  <c r="O81" i="2" s="1"/>
  <c r="H76" i="2"/>
  <c r="K76" i="2" s="1"/>
  <c r="K59" i="2"/>
  <c r="J54" i="2"/>
  <c r="J46" i="2"/>
  <c r="J43" i="2"/>
  <c r="J24" i="2"/>
  <c r="H18" i="2"/>
  <c r="J11" i="2"/>
  <c r="K64" i="2"/>
  <c r="H43" i="2"/>
  <c r="J85" i="2"/>
  <c r="N98" i="2"/>
  <c r="N80" i="2"/>
  <c r="N107" i="2"/>
  <c r="N114" i="2"/>
  <c r="O10" i="2"/>
  <c r="P114" i="2"/>
  <c r="P98" i="2"/>
  <c r="N84" i="2"/>
  <c r="J110" i="2"/>
  <c r="N66" i="2"/>
  <c r="O82" i="2"/>
  <c r="N44" i="2"/>
  <c r="L114" i="2"/>
  <c r="L98" i="2"/>
  <c r="K91" i="2"/>
  <c r="J89" i="2"/>
  <c r="J84" i="2"/>
  <c r="J80" i="2"/>
  <c r="J78" i="2"/>
  <c r="P58" i="2"/>
  <c r="O42" i="2"/>
  <c r="N34" i="2"/>
  <c r="N31" i="2"/>
  <c r="N19" i="2"/>
  <c r="J14" i="2"/>
  <c r="N7" i="2"/>
  <c r="O91" i="2"/>
  <c r="J94" i="2"/>
  <c r="O75" i="2"/>
  <c r="K40" i="2"/>
  <c r="J91" i="2"/>
  <c r="L75" i="2"/>
  <c r="J73" i="2"/>
  <c r="J66" i="2"/>
  <c r="L63" i="2"/>
  <c r="N39" i="2"/>
  <c r="J36" i="2"/>
  <c r="J26" i="2"/>
  <c r="P16" i="2"/>
  <c r="K110" i="2"/>
  <c r="K74" i="2"/>
  <c r="N109" i="2"/>
  <c r="N93" i="2"/>
  <c r="N111" i="2"/>
  <c r="H109" i="2"/>
  <c r="K109" i="2" s="1"/>
  <c r="N95" i="2"/>
  <c r="H93" i="2"/>
  <c r="K93" i="2" s="1"/>
  <c r="H89" i="2"/>
  <c r="O89" i="2" s="1"/>
  <c r="L82" i="2"/>
  <c r="P67" i="2"/>
  <c r="K63" i="2"/>
  <c r="N55" i="2"/>
  <c r="L52" i="2"/>
  <c r="N47" i="2"/>
  <c r="J44" i="2"/>
  <c r="J31" i="2"/>
  <c r="J19" i="2"/>
  <c r="L10" i="2"/>
  <c r="J7" i="2"/>
  <c r="O67" i="2"/>
  <c r="J60" i="2"/>
  <c r="J52" i="2"/>
  <c r="L42" i="2"/>
  <c r="J39" i="2"/>
  <c r="J34" i="2"/>
  <c r="J10" i="2"/>
  <c r="N108" i="2"/>
  <c r="P35" i="2"/>
  <c r="O35" i="2"/>
  <c r="N88" i="2"/>
  <c r="P59" i="2"/>
  <c r="K22" i="2"/>
  <c r="N92" i="2"/>
  <c r="K102" i="2"/>
  <c r="J77" i="2"/>
  <c r="J102" i="2"/>
  <c r="O90" i="2"/>
  <c r="K70" i="2"/>
  <c r="N38" i="2"/>
  <c r="J113" i="2"/>
  <c r="N101" i="2"/>
  <c r="J97" i="2"/>
  <c r="J86" i="2"/>
  <c r="K79" i="2"/>
  <c r="P74" i="2"/>
  <c r="J72" i="2"/>
  <c r="J70" i="2"/>
  <c r="K67" i="2"/>
  <c r="N62" i="2"/>
  <c r="N54" i="2"/>
  <c r="N46" i="2"/>
  <c r="J33" i="2"/>
  <c r="J22" i="2"/>
  <c r="N15" i="2"/>
  <c r="H12" i="2"/>
  <c r="P12" i="2" s="1"/>
  <c r="J9" i="2"/>
  <c r="P90" i="2"/>
  <c r="L79" i="2"/>
  <c r="K58" i="2"/>
  <c r="K50" i="2"/>
  <c r="N85" i="2"/>
  <c r="O74" i="2"/>
  <c r="N69" i="2"/>
  <c r="J41" i="2"/>
  <c r="H30" i="2"/>
  <c r="K30" i="2" s="1"/>
  <c r="P24" i="2"/>
  <c r="H6" i="2"/>
  <c r="K6" i="2" s="1"/>
  <c r="O21" i="2"/>
  <c r="L69" i="2"/>
  <c r="O69" i="2"/>
  <c r="P69" i="2"/>
  <c r="K15" i="2"/>
  <c r="K29" i="2"/>
  <c r="L29" i="2"/>
  <c r="O29" i="2"/>
  <c r="P29" i="2"/>
  <c r="K5" i="2"/>
  <c r="L5" i="2"/>
  <c r="O5" i="2"/>
  <c r="P5" i="2"/>
  <c r="K11" i="2"/>
  <c r="L11" i="2"/>
  <c r="O11" i="2"/>
  <c r="P11" i="2"/>
  <c r="P45" i="2"/>
  <c r="K61" i="2"/>
  <c r="L61" i="2"/>
  <c r="K53" i="2"/>
  <c r="L53" i="2"/>
  <c r="O53" i="2"/>
  <c r="P53" i="2"/>
  <c r="P13" i="2"/>
  <c r="P31" i="2"/>
  <c r="K31" i="2"/>
  <c r="L31" i="2"/>
  <c r="K19" i="2"/>
  <c r="L19" i="2"/>
  <c r="O19" i="2"/>
  <c r="P19" i="2"/>
  <c r="O39" i="2"/>
  <c r="P39" i="2"/>
  <c r="L39" i="2"/>
  <c r="O55" i="2"/>
  <c r="O47" i="2"/>
  <c r="P47" i="2"/>
  <c r="K47" i="2"/>
  <c r="K3" i="2"/>
  <c r="L3" i="2"/>
  <c r="O3" i="2"/>
  <c r="P3" i="2"/>
  <c r="O114" i="2"/>
  <c r="O106" i="2"/>
  <c r="K100" i="2"/>
  <c r="O98" i="2"/>
  <c r="K84" i="2"/>
  <c r="K68" i="2"/>
  <c r="K52" i="2"/>
  <c r="K44" i="2"/>
  <c r="K4" i="2"/>
  <c r="P101" i="2"/>
  <c r="P85" i="2"/>
  <c r="P77" i="2"/>
  <c r="H73" i="2"/>
  <c r="H65" i="2"/>
  <c r="H57" i="2"/>
  <c r="H49" i="2"/>
  <c r="H41" i="2"/>
  <c r="H33" i="2"/>
  <c r="H25" i="2"/>
  <c r="H17" i="2"/>
  <c r="H9" i="2"/>
  <c r="O101" i="2"/>
  <c r="O85" i="2"/>
  <c r="O77" i="2"/>
  <c r="N45" i="2"/>
  <c r="N37" i="2"/>
  <c r="N29" i="2"/>
  <c r="N21" i="2"/>
  <c r="N13" i="2"/>
  <c r="N5" i="2"/>
  <c r="O112" i="2"/>
  <c r="O104" i="2"/>
  <c r="O96" i="2"/>
  <c r="O80" i="2"/>
  <c r="O64" i="2"/>
  <c r="O56" i="2"/>
  <c r="O48" i="2"/>
  <c r="O40" i="2"/>
  <c r="O32" i="2"/>
  <c r="O24" i="2"/>
  <c r="O16" i="2"/>
  <c r="O8" i="2"/>
  <c r="L101" i="2"/>
  <c r="L85" i="2"/>
  <c r="L77" i="2"/>
  <c r="L112" i="2"/>
  <c r="P110" i="2"/>
  <c r="L104" i="2"/>
  <c r="L96" i="2"/>
  <c r="L80" i="2"/>
  <c r="P78" i="2"/>
  <c r="P70" i="2"/>
  <c r="J69" i="2"/>
  <c r="L64" i="2"/>
  <c r="P62" i="2"/>
  <c r="J61" i="2"/>
  <c r="L56" i="2"/>
  <c r="P54" i="2"/>
  <c r="J53" i="2"/>
  <c r="L48" i="2"/>
  <c r="J45" i="2"/>
  <c r="L40" i="2"/>
  <c r="J37" i="2"/>
  <c r="L32" i="2"/>
  <c r="J29" i="2"/>
  <c r="L24" i="2"/>
  <c r="P22" i="2"/>
  <c r="J21" i="2"/>
  <c r="L16" i="2"/>
  <c r="P14" i="2"/>
  <c r="J13" i="2"/>
  <c r="L8" i="2"/>
  <c r="J5" i="2"/>
  <c r="O110" i="2"/>
  <c r="O102" i="2"/>
  <c r="O86" i="2"/>
  <c r="O78" i="2"/>
  <c r="O70" i="2"/>
  <c r="O54" i="2"/>
  <c r="O22" i="2"/>
  <c r="O14" i="2"/>
  <c r="O105" i="2"/>
  <c r="O97" i="2"/>
  <c r="L110" i="2"/>
  <c r="L102" i="2"/>
  <c r="P100" i="2"/>
  <c r="L94" i="2"/>
  <c r="L86" i="2"/>
  <c r="P84" i="2"/>
  <c r="L78" i="2"/>
  <c r="P76" i="2"/>
  <c r="L70" i="2"/>
  <c r="P68" i="2"/>
  <c r="L62" i="2"/>
  <c r="L54" i="2"/>
  <c r="P52" i="2"/>
  <c r="P44" i="2"/>
  <c r="P28" i="2"/>
  <c r="L22" i="2"/>
  <c r="L14" i="2"/>
  <c r="L105" i="2"/>
  <c r="P95" i="2"/>
  <c r="L89" i="2"/>
  <c r="P87" i="2"/>
  <c r="P79" i="2"/>
  <c r="P71" i="2"/>
  <c r="P63" i="2"/>
  <c r="K2" i="2"/>
  <c r="L2" i="2"/>
  <c r="N2" i="2"/>
  <c r="L7" i="2" l="1"/>
  <c r="K7" i="2"/>
  <c r="P105" i="2"/>
  <c r="P86" i="2"/>
  <c r="L20" i="2"/>
  <c r="K111" i="2"/>
  <c r="P36" i="2"/>
  <c r="L109" i="2"/>
  <c r="P7" i="2"/>
  <c r="P51" i="2"/>
  <c r="O111" i="2"/>
  <c r="P27" i="2"/>
  <c r="K83" i="2"/>
  <c r="P109" i="2"/>
  <c r="L15" i="2"/>
  <c r="K20" i="2"/>
  <c r="P15" i="2"/>
  <c r="K28" i="2"/>
  <c r="K51" i="2"/>
  <c r="P20" i="2"/>
  <c r="O83" i="2"/>
  <c r="K71" i="2"/>
  <c r="K36" i="2"/>
  <c r="L55" i="2"/>
  <c r="P83" i="2"/>
  <c r="L44" i="2"/>
  <c r="O26" i="2"/>
  <c r="P38" i="2"/>
  <c r="P37" i="2"/>
  <c r="O27" i="2"/>
  <c r="L26" i="2"/>
  <c r="P94" i="2"/>
  <c r="K55" i="2"/>
  <c r="O37" i="2"/>
  <c r="L36" i="2"/>
  <c r="L37" i="2"/>
  <c r="O94" i="2"/>
  <c r="P111" i="2"/>
  <c r="K13" i="2"/>
  <c r="P92" i="2"/>
  <c r="L23" i="2"/>
  <c r="K82" i="2"/>
  <c r="K107" i="2"/>
  <c r="O38" i="2"/>
  <c r="P93" i="2"/>
  <c r="L50" i="2"/>
  <c r="L100" i="2"/>
  <c r="O46" i="2"/>
  <c r="O62" i="2"/>
  <c r="P61" i="2"/>
  <c r="L21" i="2"/>
  <c r="K21" i="2"/>
  <c r="P50" i="2"/>
  <c r="O107" i="2"/>
  <c r="O45" i="2"/>
  <c r="L71" i="2"/>
  <c r="P8" i="2"/>
  <c r="L45" i="2"/>
  <c r="P46" i="2"/>
  <c r="L51" i="2"/>
  <c r="L38" i="2"/>
  <c r="L46" i="2"/>
  <c r="P107" i="2"/>
  <c r="L113" i="2"/>
  <c r="L28" i="2"/>
  <c r="L60" i="2"/>
  <c r="K60" i="2"/>
  <c r="P60" i="2"/>
  <c r="O13" i="2"/>
  <c r="L27" i="2"/>
  <c r="O93" i="2"/>
  <c r="K23" i="2"/>
  <c r="O109" i="2"/>
  <c r="O23" i="2"/>
  <c r="P103" i="2"/>
  <c r="L93" i="2"/>
  <c r="O30" i="2"/>
  <c r="P108" i="2"/>
  <c r="L103" i="2"/>
  <c r="K103" i="2"/>
  <c r="K72" i="2"/>
  <c r="P72" i="2"/>
  <c r="O12" i="2"/>
  <c r="L12" i="2"/>
  <c r="K18" i="2"/>
  <c r="O18" i="2"/>
  <c r="P18" i="2"/>
  <c r="L18" i="2"/>
  <c r="K88" i="2"/>
  <c r="P88" i="2"/>
  <c r="P6" i="2"/>
  <c r="K89" i="2"/>
  <c r="P89" i="2"/>
  <c r="O92" i="2"/>
  <c r="L92" i="2"/>
  <c r="L6" i="2"/>
  <c r="O6" i="2"/>
  <c r="O72" i="2"/>
  <c r="K12" i="2"/>
  <c r="K97" i="2"/>
  <c r="P97" i="2"/>
  <c r="O88" i="2"/>
  <c r="O76" i="2"/>
  <c r="L76" i="2"/>
  <c r="K81" i="2"/>
  <c r="P81" i="2"/>
  <c r="O108" i="2"/>
  <c r="L108" i="2"/>
  <c r="K113" i="2"/>
  <c r="P113" i="2"/>
  <c r="L30" i="2"/>
  <c r="O43" i="2"/>
  <c r="P43" i="2"/>
  <c r="K43" i="2"/>
  <c r="L43" i="2"/>
  <c r="L81" i="2"/>
  <c r="P30" i="2"/>
  <c r="L72" i="2"/>
  <c r="K9" i="2"/>
  <c r="L9" i="2"/>
  <c r="O9" i="2"/>
  <c r="P9" i="2"/>
  <c r="K17" i="2"/>
  <c r="L17" i="2"/>
  <c r="O17" i="2"/>
  <c r="P17" i="2"/>
  <c r="K25" i="2"/>
  <c r="L25" i="2"/>
  <c r="O25" i="2"/>
  <c r="P25" i="2"/>
  <c r="K33" i="2"/>
  <c r="L33" i="2"/>
  <c r="O33" i="2"/>
  <c r="P33" i="2"/>
  <c r="K41" i="2"/>
  <c r="L41" i="2"/>
  <c r="O41" i="2"/>
  <c r="P41" i="2"/>
  <c r="K49" i="2"/>
  <c r="L49" i="2"/>
  <c r="O49" i="2"/>
  <c r="P49" i="2"/>
  <c r="K57" i="2"/>
  <c r="L57" i="2"/>
  <c r="O57" i="2"/>
  <c r="P57" i="2"/>
  <c r="K65" i="2"/>
  <c r="L65" i="2"/>
  <c r="O65" i="2"/>
  <c r="P65" i="2"/>
  <c r="K73" i="2"/>
  <c r="L73" i="2"/>
  <c r="O73" i="2"/>
  <c r="P73" i="2"/>
  <c r="O2" i="2"/>
  <c r="P2" i="2"/>
</calcChain>
</file>

<file path=xl/sharedStrings.xml><?xml version="1.0" encoding="utf-8"?>
<sst xmlns="http://schemas.openxmlformats.org/spreadsheetml/2006/main" count="28" uniqueCount="28">
  <si>
    <t>Nazwa</t>
  </si>
  <si>
    <t>RS-385SH-2655R</t>
  </si>
  <si>
    <t>Waga</t>
  </si>
  <si>
    <t>RK-385P-2175</t>
  </si>
  <si>
    <t>JOHNSON HC383MG RS380</t>
  </si>
  <si>
    <t>RS-385SH-2270</t>
  </si>
  <si>
    <t>RS-385SV-2460</t>
  </si>
  <si>
    <t>RPM:</t>
  </si>
  <si>
    <t>Napięcie (Dane RPM)</t>
  </si>
  <si>
    <t>Prąd w zwarciu (Dane RPM)</t>
  </si>
  <si>
    <t>Moment (Dane RPM)</t>
  </si>
  <si>
    <t>Interaktywnie!</t>
  </si>
  <si>
    <t xml:space="preserve">Napięcie [V]: </t>
  </si>
  <si>
    <t>Opór uzwojeń [U/1A]</t>
  </si>
  <si>
    <t>Stała momentu [Nm/mA]</t>
  </si>
  <si>
    <t>Moment w zwarciu 12V [Nm/A]</t>
  </si>
  <si>
    <t>Prąd w zwarciu 12V [A]</t>
  </si>
  <si>
    <t>RPM 24V</t>
  </si>
  <si>
    <t>Prąd 24V [mA]</t>
  </si>
  <si>
    <t>Prąd w zwarciu (Dane U)</t>
  </si>
  <si>
    <t>RPM (Dane U)</t>
  </si>
  <si>
    <t>Moment [Nm/A] (Dane U)</t>
  </si>
  <si>
    <t>[Nm/g] (Dane U)</t>
  </si>
  <si>
    <t>[Nm/g] (Dane RPM)</t>
  </si>
  <si>
    <t>Średnica koła [mm]:</t>
  </si>
  <si>
    <t>Prędkość (zadane RP ) [m/s]:</t>
  </si>
  <si>
    <t>Przełożenie:</t>
  </si>
  <si>
    <t>RS-360ST-2885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</si>
</sst>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/>
    <xf numFmtId="0" fontId="0" fillId="0" borderId="7" xfId="0" applyBorder="1"/>
    <xf numFmtId="2" fontId="0" fillId="0" borderId="11" xfId="0" applyNumberFormat="1" applyBorder="1"/>
    <xf numFmtId="2" fontId="0" fillId="0" borderId="6" xfId="0" applyNumberFormat="1" applyBorder="1"/>
    <xf numFmtId="2" fontId="0" fillId="0" borderId="12" xfId="0" applyNumberFormat="1" applyBorder="1"/>
    <xf numFmtId="2" fontId="0" fillId="0" borderId="10" xfId="0" applyNumberFormat="1" applyBorder="1"/>
    <xf numFmtId="2" fontId="0" fillId="0" borderId="8" xfId="0" applyNumberFormat="1" applyBorder="1"/>
    <xf numFmtId="0" fontId="0" fillId="0" borderId="9" xfId="0" applyBorder="1"/>
    <xf numFmtId="2" fontId="0" fillId="0" borderId="14" xfId="0" applyNumberFormat="1" applyBorder="1"/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0" fontId="1" fillId="0" borderId="5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" fontId="0" fillId="0" borderId="0" xfId="0" applyNumberFormat="1"/>
    <xf numFmtId="0" fontId="1" fillId="0" borderId="18" xfId="0" applyFont="1" applyBorder="1"/>
    <xf numFmtId="0" fontId="1" fillId="0" borderId="3" xfId="0" applyFont="1" applyFill="1" applyBorder="1"/>
    <xf numFmtId="2" fontId="0" fillId="0" borderId="4" xfId="0" applyNumberFormat="1" applyBorder="1" applyAlignment="1">
      <alignment horizontal="center"/>
    </xf>
    <xf numFmtId="2" fontId="0" fillId="0" borderId="19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</cellXfs>
  <cellStyles count="1">
    <cellStyle name="Normal" xfId="0" builtinId="0"/>
  </cellStyles>
  <dxfs count="23">
    <dxf>
      <font>
        <b val="0"/>
        <i val="0"/>
      </font>
      <fill>
        <patternFill>
          <bgColor theme="3" tint="0.749961851863155"/>
        </patternFill>
      </fill>
    </dxf>
    <dxf>
      <font>
        <b val="0"/>
        <i val="0"/>
      </font>
      <fill>
        <patternFill>
          <bgColor theme="3" tint="0.749961851863155"/>
        </patternFill>
      </fill>
    </dxf>
    <dxf>
      <numFmt numFmtId="2" formatCode="0.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</font>
      <fill>
        <patternFill>
          <bgColor theme="3" tint="0.74996185186315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C265550-FF17-485F-9292-5B99975F35F1}" name="Table6" displayName="Table6" ref="A1:P1048576" totalsRowShown="0" headerRowDxfId="21" headerRowBorderDxfId="19" tableBorderDxfId="20" totalsRowBorderDxfId="18">
  <autoFilter ref="A1:P1048576" xr:uid="{AC265550-FF17-485F-9292-5B99975F35F1}"/>
  <tableColumns count="16">
    <tableColumn id="1" xr3:uid="{F9A7EC63-1D4A-4C94-8631-E9F11B91398D}" name="Nazwa" dataDxfId="17"/>
    <tableColumn id="2" xr3:uid="{276B8804-5769-4B88-907D-9FC75BD252C8}" name="Waga" dataDxfId="16"/>
    <tableColumn id="4" xr3:uid="{F4A061AF-E573-4F92-8E59-AEC883A58204}" name="Opór uzwojeń [U/1A]" dataDxfId="15"/>
    <tableColumn id="5" xr3:uid="{A44E980B-70F8-4B74-AF97-3C900A21C351}" name="RPM 24V" dataDxfId="14"/>
    <tableColumn id="6" xr3:uid="{776A220E-593B-4B22-AB1F-214C9A436F19}" name="Prąd 24V [mA]" dataDxfId="13"/>
    <tableColumn id="7" xr3:uid="{199A7165-012B-4850-A0FE-5761864209B2}" name="Stała momentu [Nm/mA]" dataDxfId="12">
      <calculatedColumnFormula>(12-Table6[[#This Row],[Prąd 24V '[mA']]]/10000*Table6[[#This Row],[Opór uzwojeń '[U/1A']]])/(Table6[[#This Row],[RPM 24V]]*PI()/30)*1000</calculatedColumnFormula>
    </tableColumn>
    <tableColumn id="17" xr3:uid="{55F3429F-8468-494B-B971-71BCE955500A}" name="Prąd w zwarciu 12V [A]" dataDxfId="11">
      <calculatedColumnFormula>12/Table6[[#This Row],[Opór uzwojeń '[U/1A']]]</calculatedColumnFormula>
    </tableColumn>
    <tableColumn id="18" xr3:uid="{7EFBC617-C9B9-4B2D-8DC9-69B3B4A9327E}" name="Moment w zwarciu 12V [Nm/A]" dataDxfId="10">
      <calculatedColumnFormula>Table6[[#This Row],[Stała momentu '[Nm/mA']]]*(Table6[[#This Row],[Prąd w zwarciu 12V '[A']]]-Table6[[#This Row],[Prąd 24V '[mA']]]/1000)</calculatedColumnFormula>
    </tableColumn>
    <tableColumn id="8" xr3:uid="{69CD1EDF-51AC-407C-9E31-80182F0F74C6}" name="Napięcie (Dane RPM)" dataDxfId="9">
      <calculatedColumnFormula>$S$2*24/Table6[[#This Row],[RPM 24V]]</calculatedColumnFormula>
    </tableColumn>
    <tableColumn id="10" xr3:uid="{68200736-7943-41FD-A9E9-CE88B52BBDBE}" name="Prąd w zwarciu (Dane RPM)" dataDxfId="8">
      <calculatedColumnFormula>Table6[[#This Row],[Prąd w zwarciu 12V '[A']]]*Table6[[#This Row],[Napięcie (Dane RPM)]]/12</calculatedColumnFormula>
    </tableColumn>
    <tableColumn id="11" xr3:uid="{4295B029-6DEF-402F-8CEA-5C0420380648}" name="Moment (Dane RPM)" dataDxfId="7">
      <calculatedColumnFormula>Table6[[#This Row],[Moment w zwarciu 12V '[Nm/A']]]*Table6[[#This Row],[Napięcie (Dane RPM)]]/12</calculatedColumnFormula>
    </tableColumn>
    <tableColumn id="12" xr3:uid="{9518D69E-613C-4364-BA73-1234317D9EAB}" name="[Nm/g] (Dane RPM)" dataDxfId="6">
      <calculatedColumnFormula>Table6[[#This Row],[Moment w zwarciu 12V '[Nm/A']]]*Table6[[#This Row],[Napięcie (Dane RPM)]]/12/Table6[[#This Row],[Waga]]</calculatedColumnFormula>
    </tableColumn>
    <tableColumn id="13" xr3:uid="{458715B8-2553-4AFB-BD1A-63EFEC89C3AF}" name="RPM (Dane U)" dataDxfId="5">
      <calculatedColumnFormula>Table6[[#This Row],[RPM 24V]]*$S$3/24</calculatedColumnFormula>
    </tableColumn>
    <tableColumn id="15" xr3:uid="{E50BDF0E-1B89-4839-B5C1-10C416C379A0}" name="Prąd w zwarciu (Dane U)" dataDxfId="4">
      <calculatedColumnFormula>Table6[[#This Row],[Prąd w zwarciu 12V '[A']]]*$S$3/12</calculatedColumnFormula>
    </tableColumn>
    <tableColumn id="19" xr3:uid="{8C6AAA0F-FBFF-4B85-A456-65D77F8FF3CF}" name="Moment [Nm/A] (Dane U)" dataDxfId="3">
      <calculatedColumnFormula>Table6[[#This Row],[Moment w zwarciu 12V '[Nm/A']]]*$S$3/12</calculatedColumnFormula>
    </tableColumn>
    <tableColumn id="16" xr3:uid="{DD076DF6-AE6B-40EE-84ED-FD4D6650BC91}" name="[Nm/g] (Dane U)" dataDxfId="2">
      <calculatedColumnFormula>Table6[[#This Row],[Moment w zwarciu 12V '[Nm/A']]]*$S$3/12/Table6[[#This Row],[Waga]]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155A-3F6C-4107-8D96-EC37446F4CB1}">
  <dimension ref="A1:S114"/>
  <sheetViews>
    <sheetView tabSelected="1" zoomScale="85" zoomScaleNormal="85" workbookViewId="0">
      <selection activeCell="F17" sqref="F17"/>
    </sheetView>
  </sheetViews>
  <sheetFormatPr defaultColWidth="22.140625" defaultRowHeight="18" customHeight="1" x14ac:dyDescent="0.25"/>
  <cols>
    <col min="1" max="1" width="28.28515625" style="2" customWidth="1"/>
    <col min="2" max="2" width="10.5703125" style="7" customWidth="1"/>
    <col min="3" max="3" width="21.140625" style="3" customWidth="1"/>
    <col min="4" max="4" width="17.28515625" style="4" customWidth="1"/>
    <col min="5" max="5" width="17.28515625" style="7" customWidth="1"/>
    <col min="6" max="6" width="26.140625" style="3" customWidth="1"/>
    <col min="7" max="7" width="23.42578125" style="4" customWidth="1"/>
    <col min="8" max="8" width="30.42578125" style="5" customWidth="1"/>
    <col min="9" max="9" width="21.7109375" style="3" customWidth="1"/>
    <col min="10" max="10" width="26.140625" style="4" customWidth="1"/>
    <col min="11" max="11" width="21" style="4" customWidth="1"/>
    <col min="12" max="12" width="20" style="5" customWidth="1"/>
    <col min="13" max="13" width="16" style="3" customWidth="1"/>
    <col min="14" max="14" width="24.140625" style="4" customWidth="1"/>
    <col min="15" max="15" width="25" style="7" customWidth="1"/>
    <col min="16" max="16" width="17.85546875" style="5" customWidth="1"/>
    <col min="17" max="17" width="6.28515625" customWidth="1"/>
    <col min="18" max="18" width="27.42578125" customWidth="1"/>
  </cols>
  <sheetData>
    <row r="1" spans="1:19" ht="18" customHeight="1" thickBot="1" x14ac:dyDescent="0.3">
      <c r="A1" s="8" t="s">
        <v>0</v>
      </c>
      <c r="B1" s="6" t="s">
        <v>2</v>
      </c>
      <c r="C1" s="9" t="s">
        <v>13</v>
      </c>
      <c r="D1" s="10" t="s">
        <v>17</v>
      </c>
      <c r="E1" s="12" t="s">
        <v>18</v>
      </c>
      <c r="F1" s="9" t="s">
        <v>14</v>
      </c>
      <c r="G1" s="10" t="s">
        <v>16</v>
      </c>
      <c r="H1" s="11" t="s">
        <v>15</v>
      </c>
      <c r="I1" s="9" t="s">
        <v>8</v>
      </c>
      <c r="J1" s="10" t="s">
        <v>9</v>
      </c>
      <c r="K1" s="10" t="s">
        <v>10</v>
      </c>
      <c r="L1" s="11" t="s">
        <v>23</v>
      </c>
      <c r="M1" s="9" t="s">
        <v>20</v>
      </c>
      <c r="N1" s="10" t="s">
        <v>19</v>
      </c>
      <c r="O1" s="12" t="s">
        <v>21</v>
      </c>
      <c r="P1" s="11" t="s">
        <v>22</v>
      </c>
      <c r="R1" s="13" t="s">
        <v>11</v>
      </c>
      <c r="S1" s="14"/>
    </row>
    <row r="2" spans="1:19" ht="18" customHeight="1" x14ac:dyDescent="0.25">
      <c r="A2" s="2" t="s">
        <v>1</v>
      </c>
      <c r="B2" s="7">
        <v>75.3</v>
      </c>
      <c r="C2" s="3">
        <v>2</v>
      </c>
      <c r="D2" s="4">
        <v>22000</v>
      </c>
      <c r="E2" s="7">
        <v>245</v>
      </c>
      <c r="F2" s="3">
        <f>(12-Table6[[#This Row],[Prąd 24V '[mA']]]/10000*Table6[[#This Row],[Opór uzwojeń '[U/1A']]])/(Table6[[#This Row],[RPM 24V]]*PI()/30)*1000</f>
        <v>5.1874383406124771</v>
      </c>
      <c r="G2" s="4">
        <f>12/Table6[[#This Row],[Opór uzwojeń '[U/1A']]]</f>
        <v>6</v>
      </c>
      <c r="H2" s="5">
        <f>Table6[[#This Row],[Stała momentu '[Nm/mA']]]*(Table6[[#This Row],[Prąd w zwarciu 12V '[A']]]-Table6[[#This Row],[Prąd 24V '[mA']]]/1000)</f>
        <v>29.853707650224806</v>
      </c>
      <c r="I2" s="3">
        <f>$S$2*24/Table6[[#This Row],[RPM 24V]]</f>
        <v>10.909090909090908</v>
      </c>
      <c r="J2" s="4">
        <f>Table6[[#This Row],[Prąd w zwarciu 12V '[A']]]*Table6[[#This Row],[Napięcie (Dane RPM)]]/12</f>
        <v>5.4545454545454541</v>
      </c>
      <c r="K2" s="4">
        <f>Table6[[#This Row],[Moment w zwarciu 12V '[Nm/A']]]*Table6[[#This Row],[Napięcie (Dane RPM)]]/12</f>
        <v>27.139734227477092</v>
      </c>
      <c r="L2" s="5">
        <f>Table6[[#This Row],[Moment w zwarciu 12V '[Nm/A']]]*Table6[[#This Row],[Napięcie (Dane RPM)]]/12/Table6[[#This Row],[Waga]]</f>
        <v>0.36042143728389237</v>
      </c>
      <c r="M2" s="3">
        <f>Table6[[#This Row],[RPM 24V]]*$S$3/24</f>
        <v>7333.333333333333</v>
      </c>
      <c r="N2" s="4">
        <f>Table6[[#This Row],[Prąd w zwarciu 12V '[A']]]*$S$3/12</f>
        <v>4</v>
      </c>
      <c r="O2" s="7">
        <f>Table6[[#This Row],[Moment w zwarciu 12V '[Nm/A']]]*$S$3/12</f>
        <v>19.902471766816536</v>
      </c>
      <c r="P2" s="5">
        <f>Table6[[#This Row],[Moment w zwarciu 12V '[Nm/A']]]*$S$3/12/Table6[[#This Row],[Waga]]</f>
        <v>0.26430905400818772</v>
      </c>
      <c r="R2" s="16" t="s">
        <v>7</v>
      </c>
      <c r="S2" s="19">
        <v>10000</v>
      </c>
    </row>
    <row r="3" spans="1:19" ht="18" customHeight="1" thickBot="1" x14ac:dyDescent="0.3">
      <c r="A3" s="2" t="s">
        <v>3</v>
      </c>
      <c r="B3" s="7">
        <v>70.7</v>
      </c>
      <c r="C3" s="3">
        <v>3.85</v>
      </c>
      <c r="D3" s="4">
        <v>20800</v>
      </c>
      <c r="E3" s="7">
        <v>200</v>
      </c>
      <c r="F3" s="3">
        <f>(12-Table6[[#This Row],[Prąd 24V '[mA']]]/10000*Table6[[#This Row],[Opór uzwojeń '[U/1A']]])/(Table6[[#This Row],[RPM 24V]]*PI()/30)*1000</f>
        <v>5.4738588071673124</v>
      </c>
      <c r="G3" s="4">
        <f>12/Table6[[#This Row],[Opór uzwojeń '[U/1A']]]</f>
        <v>3.116883116883117</v>
      </c>
      <c r="H3" s="5">
        <f>Table6[[#This Row],[Stała momentu '[Nm/mA']]]*(Table6[[#This Row],[Prąd w zwarciu 12V '[A']]]-Table6[[#This Row],[Prąd 24V '[mA']]]/1000)</f>
        <v>15.96660633882829</v>
      </c>
      <c r="I3" s="3">
        <f>$S$2*24/Table6[[#This Row],[RPM 24V]]</f>
        <v>11.538461538461538</v>
      </c>
      <c r="J3" s="4">
        <f>Table6[[#This Row],[Prąd w zwarciu 12V '[A']]]*Table6[[#This Row],[Napięcie (Dane RPM)]]/12</f>
        <v>2.9970029970029972</v>
      </c>
      <c r="K3" s="4">
        <f>Table6[[#This Row],[Moment w zwarciu 12V '[Nm/A']]]*Table6[[#This Row],[Napięcie (Dane RPM)]]/12</f>
        <v>15.352506095027202</v>
      </c>
      <c r="L3" s="5">
        <f>Table6[[#This Row],[Moment w zwarciu 12V '[Nm/A']]]*Table6[[#This Row],[Napięcie (Dane RPM)]]/12/Table6[[#This Row],[Waga]]</f>
        <v>0.2171500154883621</v>
      </c>
      <c r="M3" s="3">
        <f>Table6[[#This Row],[RPM 24V]]*$S$3/24</f>
        <v>6933.333333333333</v>
      </c>
      <c r="N3" s="4">
        <f>Table6[[#This Row],[Prąd w zwarciu 12V '[A']]]*$S$3/12</f>
        <v>2.0779220779220782</v>
      </c>
      <c r="O3" s="7">
        <f>Table6[[#This Row],[Moment w zwarciu 12V '[Nm/A']]]*$S$3/12</f>
        <v>10.644404225885527</v>
      </c>
      <c r="P3" s="5">
        <f>Table6[[#This Row],[Moment w zwarciu 12V '[Nm/A']]]*$S$3/12/Table6[[#This Row],[Waga]]</f>
        <v>0.15055734407193105</v>
      </c>
      <c r="R3" s="1" t="s">
        <v>12</v>
      </c>
      <c r="S3" s="20">
        <v>8</v>
      </c>
    </row>
    <row r="4" spans="1:19" ht="18" customHeight="1" x14ac:dyDescent="0.25">
      <c r="A4" s="2" t="s">
        <v>4</v>
      </c>
      <c r="B4" s="7">
        <v>69.599999999999994</v>
      </c>
      <c r="C4" s="3">
        <v>2.0499999999999998</v>
      </c>
      <c r="D4" s="4">
        <v>24800</v>
      </c>
      <c r="E4" s="7">
        <v>225</v>
      </c>
      <c r="F4" s="3">
        <f>(12-Table6[[#This Row],[Prąd 24V '[mA']]]/10000*Table6[[#This Row],[Opór uzwojeń '[U/1A']]])/(Table6[[#This Row],[RPM 24V]]*PI()/30)*1000</f>
        <v>4.6028668435950735</v>
      </c>
      <c r="G4" s="4">
        <f>12/Table6[[#This Row],[Opór uzwojeń '[U/1A']]]</f>
        <v>5.8536585365853666</v>
      </c>
      <c r="H4" s="5">
        <f>Table6[[#This Row],[Stała momentu '[Nm/mA']]]*(Table6[[#This Row],[Prąd w zwarciu 12V '[A']]]-Table6[[#This Row],[Prąd 24V '[mA']]]/1000)</f>
        <v>25.907965751967154</v>
      </c>
      <c r="I4" s="3">
        <f>$S$2*24/Table6[[#This Row],[RPM 24V]]</f>
        <v>9.67741935483871</v>
      </c>
      <c r="J4" s="4">
        <f>Table6[[#This Row],[Prąd w zwarciu 12V '[A']]]*Table6[[#This Row],[Napięcie (Dane RPM)]]/12</f>
        <v>4.7206923682140056</v>
      </c>
      <c r="K4" s="4">
        <f>Table6[[#This Row],[Moment w zwarciu 12V '[Nm/A']]]*Table6[[#This Row],[Napięcie (Dane RPM)]]/12</f>
        <v>20.893520767715447</v>
      </c>
      <c r="L4" s="5">
        <f>Table6[[#This Row],[Moment w zwarciu 12V '[Nm/A']]]*Table6[[#This Row],[Napięcie (Dane RPM)]]/12/Table6[[#This Row],[Waga]]</f>
        <v>0.30019426390395759</v>
      </c>
      <c r="M4" s="3">
        <f>Table6[[#This Row],[RPM 24V]]*$S$3/24</f>
        <v>8266.6666666666661</v>
      </c>
      <c r="N4" s="4">
        <f>Table6[[#This Row],[Prąd w zwarciu 12V '[A']]]*$S$3/12</f>
        <v>3.9024390243902443</v>
      </c>
      <c r="O4" s="7">
        <f>Table6[[#This Row],[Moment w zwarciu 12V '[Nm/A']]]*$S$3/12</f>
        <v>17.271977167978104</v>
      </c>
      <c r="P4" s="5">
        <f>Table6[[#This Row],[Moment w zwarciu 12V '[Nm/A']]]*$S$3/12/Table6[[#This Row],[Waga]]</f>
        <v>0.24816059149393829</v>
      </c>
      <c r="R4" s="16" t="s">
        <v>24</v>
      </c>
      <c r="S4" s="19">
        <v>30</v>
      </c>
    </row>
    <row r="5" spans="1:19" ht="18" customHeight="1" thickBot="1" x14ac:dyDescent="0.3">
      <c r="A5" s="2" t="s">
        <v>6</v>
      </c>
      <c r="B5" s="7">
        <v>71.8</v>
      </c>
      <c r="C5" s="3">
        <v>2.5</v>
      </c>
      <c r="D5" s="4">
        <v>23000</v>
      </c>
      <c r="E5" s="7">
        <v>255</v>
      </c>
      <c r="F5" s="3">
        <f>(12-Table6[[#This Row],[Prąd 24V '[mA']]]/10000*Table6[[#This Row],[Opór uzwojeń '[U/1A']]])/(Table6[[#This Row],[RPM 24V]]*PI()/30)*1000</f>
        <v>4.9557735377755705</v>
      </c>
      <c r="G5" s="4">
        <f>12/Table6[[#This Row],[Opór uzwojeń '[U/1A']]]</f>
        <v>4.8</v>
      </c>
      <c r="H5" s="5">
        <f>Table6[[#This Row],[Stała momentu '[Nm/mA']]]*(Table6[[#This Row],[Prąd w zwarciu 12V '[A']]]-Table6[[#This Row],[Prąd 24V '[mA']]]/1000)</f>
        <v>22.523990729189968</v>
      </c>
      <c r="I5" s="3">
        <f>$S$2*24/Table6[[#This Row],[RPM 24V]]</f>
        <v>10.434782608695652</v>
      </c>
      <c r="J5" s="4">
        <f>Table6[[#This Row],[Prąd w zwarciu 12V '[A']]]*Table6[[#This Row],[Napięcie (Dane RPM)]]/12</f>
        <v>4.1739130434782608</v>
      </c>
      <c r="K5" s="4">
        <f>Table6[[#This Row],[Moment w zwarciu 12V '[Nm/A']]]*Table6[[#This Row],[Napięcie (Dane RPM)]]/12</f>
        <v>19.5860788949478</v>
      </c>
      <c r="L5" s="5">
        <f>Table6[[#This Row],[Moment w zwarciu 12V '[Nm/A']]]*Table6[[#This Row],[Napięcie (Dane RPM)]]/12/Table6[[#This Row],[Waga]]</f>
        <v>0.27278661413576322</v>
      </c>
      <c r="M5" s="3">
        <f>Table6[[#This Row],[RPM 24V]]*$S$3/24</f>
        <v>7666.666666666667</v>
      </c>
      <c r="N5" s="4">
        <f>Table6[[#This Row],[Prąd w zwarciu 12V '[A']]]*$S$3/12</f>
        <v>3.1999999999999997</v>
      </c>
      <c r="O5" s="7">
        <f>Table6[[#This Row],[Moment w zwarciu 12V '[Nm/A']]]*$S$3/12</f>
        <v>15.015993819459979</v>
      </c>
      <c r="P5" s="5">
        <f>Table6[[#This Row],[Moment w zwarciu 12V '[Nm/A']]]*$S$3/12/Table6[[#This Row],[Waga]]</f>
        <v>0.2091364041707518</v>
      </c>
      <c r="R5" s="17" t="s">
        <v>26</v>
      </c>
      <c r="S5" s="18">
        <v>7.5</v>
      </c>
    </row>
    <row r="6" spans="1:19" ht="18" customHeight="1" thickBot="1" x14ac:dyDescent="0.3">
      <c r="A6" s="2" t="s">
        <v>5</v>
      </c>
      <c r="B6" s="7">
        <v>75.5</v>
      </c>
      <c r="C6" s="3">
        <v>3.86</v>
      </c>
      <c r="D6" s="4">
        <v>20745</v>
      </c>
      <c r="E6" s="7">
        <v>220</v>
      </c>
      <c r="F6" s="3">
        <f>(12-Table6[[#This Row],[Prąd 24V '[mA']]]/10000*Table6[[#This Row],[Opór uzwojeń '[U/1A']]])/(Table6[[#This Row],[RPM 24V]]*PI()/30)*1000</f>
        <v>5.4847256090683443</v>
      </c>
      <c r="G6" s="4">
        <f>12/Table6[[#This Row],[Opór uzwojeń '[U/1A']]]</f>
        <v>3.1088082901554404</v>
      </c>
      <c r="H6" s="5">
        <f>Table6[[#This Row],[Stała momentu '[Nm/mA']]]*(Table6[[#This Row],[Prąd w zwarciu 12V '[A']]]-Table6[[#This Row],[Prąd 24V '[mA']]]/1000)</f>
        <v>15.844320808704479</v>
      </c>
      <c r="I6" s="3">
        <f>$S$2*24/Table6[[#This Row],[RPM 24V]]</f>
        <v>11.569052783803325</v>
      </c>
      <c r="J6" s="4">
        <f>Table6[[#This Row],[Prąd w zwarciu 12V '[A']]]*Table6[[#This Row],[Napięcie (Dane RPM)]]/12</f>
        <v>2.9971639336278044</v>
      </c>
      <c r="K6" s="4">
        <f>Table6[[#This Row],[Moment w zwarciu 12V '[Nm/A']]]*Table6[[#This Row],[Napięcie (Dane RPM)]]/12</f>
        <v>15.275315313284628</v>
      </c>
      <c r="L6" s="5">
        <f>Table6[[#This Row],[Moment w zwarciu 12V '[Nm/A']]]*Table6[[#This Row],[Napięcie (Dane RPM)]]/12/Table6[[#This Row],[Waga]]</f>
        <v>0.20232205712959772</v>
      </c>
      <c r="M6" s="3">
        <f>Table6[[#This Row],[RPM 24V]]*$S$3/24</f>
        <v>6915</v>
      </c>
      <c r="N6" s="4">
        <f>Table6[[#This Row],[Prąd w zwarciu 12V '[A']]]*$S$3/12</f>
        <v>2.0725388601036268</v>
      </c>
      <c r="O6" s="7">
        <f>Table6[[#This Row],[Moment w zwarciu 12V '[Nm/A']]]*$S$3/12</f>
        <v>10.562880539136319</v>
      </c>
      <c r="P6" s="5">
        <f>Table6[[#This Row],[Moment w zwarciu 12V '[Nm/A']]]*$S$3/12/Table6[[#This Row],[Waga]]</f>
        <v>0.1399057025051168</v>
      </c>
      <c r="R6" s="17" t="s">
        <v>25</v>
      </c>
      <c r="S6" s="18">
        <f>S2*S4*PI()/(S5*60000)</f>
        <v>2.0943951023931953</v>
      </c>
    </row>
    <row r="7" spans="1:19" ht="18" customHeight="1" x14ac:dyDescent="0.25">
      <c r="A7" s="2" t="s">
        <v>27</v>
      </c>
      <c r="B7" s="7">
        <v>54</v>
      </c>
      <c r="C7" s="3">
        <v>1.5</v>
      </c>
      <c r="D7" s="4">
        <v>40000</v>
      </c>
      <c r="E7" s="7">
        <v>520</v>
      </c>
      <c r="F7" s="3">
        <f>(12-Table6[[#This Row],[Prąd 24V '[mA']]]/10000*Table6[[#This Row],[Opór uzwojeń '[U/1A']]])/(Table6[[#This Row],[RPM 24V]]*PI()/30)*1000</f>
        <v>2.8461678473123646</v>
      </c>
      <c r="G7" s="4">
        <f>12/Table6[[#This Row],[Opór uzwojeń '[U/1A']]]</f>
        <v>8</v>
      </c>
      <c r="H7" s="5">
        <f>Table6[[#This Row],[Stała momentu '[Nm/mA']]]*(Table6[[#This Row],[Prąd w zwarciu 12V '[A']]]-Table6[[#This Row],[Prąd 24V '[mA']]]/1000)</f>
        <v>21.289335497896488</v>
      </c>
      <c r="I7" s="3">
        <f>$S$2*24/Table6[[#This Row],[RPM 24V]]</f>
        <v>6</v>
      </c>
      <c r="J7" s="4">
        <f>Table6[[#This Row],[Prąd w zwarciu 12V '[A']]]*Table6[[#This Row],[Napięcie (Dane RPM)]]/12</f>
        <v>4</v>
      </c>
      <c r="K7" s="4">
        <f>Table6[[#This Row],[Moment w zwarciu 12V '[Nm/A']]]*Table6[[#This Row],[Napięcie (Dane RPM)]]/12</f>
        <v>10.644667748948244</v>
      </c>
      <c r="L7" s="5">
        <f>Table6[[#This Row],[Moment w zwarciu 12V '[Nm/A']]]*Table6[[#This Row],[Napięcie (Dane RPM)]]/12/Table6[[#This Row],[Waga]]</f>
        <v>0.19712347683237488</v>
      </c>
      <c r="M7" s="3">
        <f>Table6[[#This Row],[RPM 24V]]*$S$3/24</f>
        <v>13333.333333333334</v>
      </c>
      <c r="N7" s="4">
        <f>Table6[[#This Row],[Prąd w zwarciu 12V '[A']]]*$S$3/12</f>
        <v>5.333333333333333</v>
      </c>
      <c r="O7" s="7">
        <f>Table6[[#This Row],[Moment w zwarciu 12V '[Nm/A']]]*$S$3/12</f>
        <v>14.192890331930991</v>
      </c>
      <c r="P7" s="5">
        <f>Table6[[#This Row],[Moment w zwarciu 12V '[Nm/A']]]*$S$3/12/Table6[[#This Row],[Waga]]</f>
        <v>0.26283130244316649</v>
      </c>
    </row>
    <row r="8" spans="1:19" ht="18" customHeight="1" x14ac:dyDescent="0.25">
      <c r="F8" s="3" t="e">
        <f>(12-Table6[[#This Row],[Prąd 24V '[mA']]]/10000*Table6[[#This Row],[Opór uzwojeń '[U/1A']]])/(Table6[[#This Row],[RPM 24V]]*PI()/30)*1000</f>
        <v>#DIV/0!</v>
      </c>
      <c r="G8" s="4" t="e">
        <f>12/Table6[[#This Row],[Opór uzwojeń '[U/1A']]]</f>
        <v>#DIV/0!</v>
      </c>
      <c r="H8" s="5" t="e">
        <f>Table6[[#This Row],[Stała momentu '[Nm/mA']]]*(Table6[[#This Row],[Prąd w zwarciu 12V '[A']]]-Table6[[#This Row],[Prąd 24V '[mA']]]/1000)</f>
        <v>#DIV/0!</v>
      </c>
      <c r="I8" s="3" t="e">
        <f>$S$2*24/Table6[[#This Row],[RPM 24V]]</f>
        <v>#DIV/0!</v>
      </c>
      <c r="J8" s="4" t="e">
        <f>Table6[[#This Row],[Prąd w zwarciu 12V '[A']]]*Table6[[#This Row],[Napięcie (Dane RPM)]]/12</f>
        <v>#DIV/0!</v>
      </c>
      <c r="K8" s="4" t="e">
        <f>Table6[[#This Row],[Moment w zwarciu 12V '[Nm/A']]]*Table6[[#This Row],[Napięcie (Dane RPM)]]/12</f>
        <v>#DIV/0!</v>
      </c>
      <c r="L8" s="5" t="e">
        <f>Table6[[#This Row],[Moment w zwarciu 12V '[Nm/A']]]*Table6[[#This Row],[Napięcie (Dane RPM)]]/12/Table6[[#This Row],[Waga]]</f>
        <v>#DIV/0!</v>
      </c>
      <c r="M8" s="3">
        <f>Table6[[#This Row],[RPM 24V]]*$S$3/24</f>
        <v>0</v>
      </c>
      <c r="N8" s="4" t="e">
        <f>Table6[[#This Row],[Prąd w zwarciu 12V '[A']]]*$S$3/12</f>
        <v>#DIV/0!</v>
      </c>
      <c r="O8" s="7" t="e">
        <f>Table6[[#This Row],[Moment w zwarciu 12V '[Nm/A']]]*$S$3/12</f>
        <v>#DIV/0!</v>
      </c>
      <c r="P8" s="5" t="e">
        <f>Table6[[#This Row],[Moment w zwarciu 12V '[Nm/A']]]*$S$3/12/Table6[[#This Row],[Waga]]</f>
        <v>#DIV/0!</v>
      </c>
    </row>
    <row r="9" spans="1:19" ht="18" customHeight="1" x14ac:dyDescent="0.25">
      <c r="F9" s="3" t="e">
        <f>(12-Table6[[#This Row],[Prąd 24V '[mA']]]/10000*Table6[[#This Row],[Opór uzwojeń '[U/1A']]])/(Table6[[#This Row],[RPM 24V]]*PI()/30)*1000</f>
        <v>#DIV/0!</v>
      </c>
      <c r="G9" s="4" t="e">
        <f>12/Table6[[#This Row],[Opór uzwojeń '[U/1A']]]</f>
        <v>#DIV/0!</v>
      </c>
      <c r="H9" s="5" t="e">
        <f>Table6[[#This Row],[Stała momentu '[Nm/mA']]]*(Table6[[#This Row],[Prąd w zwarciu 12V '[A']]]-Table6[[#This Row],[Prąd 24V '[mA']]]/1000)</f>
        <v>#DIV/0!</v>
      </c>
      <c r="I9" s="3" t="e">
        <f>$S$2*24/Table6[[#This Row],[RPM 24V]]</f>
        <v>#DIV/0!</v>
      </c>
      <c r="J9" s="4" t="e">
        <f>Table6[[#This Row],[Prąd w zwarciu 12V '[A']]]*Table6[[#This Row],[Napięcie (Dane RPM)]]/12</f>
        <v>#DIV/0!</v>
      </c>
      <c r="K9" s="4" t="e">
        <f>Table6[[#This Row],[Moment w zwarciu 12V '[Nm/A']]]*Table6[[#This Row],[Napięcie (Dane RPM)]]/12</f>
        <v>#DIV/0!</v>
      </c>
      <c r="L9" s="5" t="e">
        <f>Table6[[#This Row],[Moment w zwarciu 12V '[Nm/A']]]*Table6[[#This Row],[Napięcie (Dane RPM)]]/12/Table6[[#This Row],[Waga]]</f>
        <v>#DIV/0!</v>
      </c>
      <c r="M9" s="3">
        <f>Table6[[#This Row],[RPM 24V]]*$S$3/24</f>
        <v>0</v>
      </c>
      <c r="N9" s="4" t="e">
        <f>Table6[[#This Row],[Prąd w zwarciu 12V '[A']]]*$S$3/12</f>
        <v>#DIV/0!</v>
      </c>
      <c r="O9" s="7" t="e">
        <f>Table6[[#This Row],[Moment w zwarciu 12V '[Nm/A']]]*$S$3/12</f>
        <v>#DIV/0!</v>
      </c>
      <c r="P9" s="5" t="e">
        <f>Table6[[#This Row],[Moment w zwarciu 12V '[Nm/A']]]*$S$3/12/Table6[[#This Row],[Waga]]</f>
        <v>#DIV/0!</v>
      </c>
    </row>
    <row r="10" spans="1:19" ht="18" customHeight="1" x14ac:dyDescent="0.25">
      <c r="F10" s="3" t="e">
        <f>(12-Table6[[#This Row],[Prąd 24V '[mA']]]/10000*Table6[[#This Row],[Opór uzwojeń '[U/1A']]])/(Table6[[#This Row],[RPM 24V]]*PI()/30)*1000</f>
        <v>#DIV/0!</v>
      </c>
      <c r="G10" s="4" t="e">
        <f>12/Table6[[#This Row],[Opór uzwojeń '[U/1A']]]</f>
        <v>#DIV/0!</v>
      </c>
      <c r="H10" s="5" t="e">
        <f>Table6[[#This Row],[Stała momentu '[Nm/mA']]]*(Table6[[#This Row],[Prąd w zwarciu 12V '[A']]]-Table6[[#This Row],[Prąd 24V '[mA']]]/1000)</f>
        <v>#DIV/0!</v>
      </c>
      <c r="I10" s="3" t="e">
        <f>$S$2*24/Table6[[#This Row],[RPM 24V]]</f>
        <v>#DIV/0!</v>
      </c>
      <c r="J10" s="4" t="e">
        <f>Table6[[#This Row],[Prąd w zwarciu 12V '[A']]]*Table6[[#This Row],[Napięcie (Dane RPM)]]/12</f>
        <v>#DIV/0!</v>
      </c>
      <c r="K10" s="4" t="e">
        <f>Table6[[#This Row],[Moment w zwarciu 12V '[Nm/A']]]*Table6[[#This Row],[Napięcie (Dane RPM)]]/12</f>
        <v>#DIV/0!</v>
      </c>
      <c r="L10" s="5" t="e">
        <f>Table6[[#This Row],[Moment w zwarciu 12V '[Nm/A']]]*Table6[[#This Row],[Napięcie (Dane RPM)]]/12/Table6[[#This Row],[Waga]]</f>
        <v>#DIV/0!</v>
      </c>
      <c r="M10" s="3">
        <f>Table6[[#This Row],[RPM 24V]]*$S$3/24</f>
        <v>0</v>
      </c>
      <c r="N10" s="4" t="e">
        <f>Table6[[#This Row],[Prąd w zwarciu 12V '[A']]]*$S$3/12</f>
        <v>#DIV/0!</v>
      </c>
      <c r="O10" s="7" t="e">
        <f>Table6[[#This Row],[Moment w zwarciu 12V '[Nm/A']]]*$S$3/12</f>
        <v>#DIV/0!</v>
      </c>
      <c r="P10" s="5" t="e">
        <f>Table6[[#This Row],[Moment w zwarciu 12V '[Nm/A']]]*$S$3/12/Table6[[#This Row],[Waga]]</f>
        <v>#DIV/0!</v>
      </c>
      <c r="Q10" s="15"/>
    </row>
    <row r="11" spans="1:19" ht="18" customHeight="1" x14ac:dyDescent="0.25">
      <c r="F11" s="3" t="e">
        <f>(12-Table6[[#This Row],[Prąd 24V '[mA']]]/10000*Table6[[#This Row],[Opór uzwojeń '[U/1A']]])/(Table6[[#This Row],[RPM 24V]]*PI()/30)*1000</f>
        <v>#DIV/0!</v>
      </c>
      <c r="G11" s="4" t="e">
        <f>12/Table6[[#This Row],[Opór uzwojeń '[U/1A']]]</f>
        <v>#DIV/0!</v>
      </c>
      <c r="H11" s="5" t="e">
        <f>Table6[[#This Row],[Stała momentu '[Nm/mA']]]*(Table6[[#This Row],[Prąd w zwarciu 12V '[A']]]-Table6[[#This Row],[Prąd 24V '[mA']]]/1000)</f>
        <v>#DIV/0!</v>
      </c>
      <c r="I11" s="3" t="e">
        <f>$S$2*24/Table6[[#This Row],[RPM 24V]]</f>
        <v>#DIV/0!</v>
      </c>
      <c r="J11" s="4" t="e">
        <f>Table6[[#This Row],[Prąd w zwarciu 12V '[A']]]*Table6[[#This Row],[Napięcie (Dane RPM)]]/12</f>
        <v>#DIV/0!</v>
      </c>
      <c r="K11" s="4" t="e">
        <f>Table6[[#This Row],[Moment w zwarciu 12V '[Nm/A']]]*Table6[[#This Row],[Napięcie (Dane RPM)]]/12</f>
        <v>#DIV/0!</v>
      </c>
      <c r="L11" s="5" t="e">
        <f>Table6[[#This Row],[Moment w zwarciu 12V '[Nm/A']]]*Table6[[#This Row],[Napięcie (Dane RPM)]]/12/Table6[[#This Row],[Waga]]</f>
        <v>#DIV/0!</v>
      </c>
      <c r="M11" s="3">
        <f>Table6[[#This Row],[RPM 24V]]*$S$3/24</f>
        <v>0</v>
      </c>
      <c r="N11" s="4" t="e">
        <f>Table6[[#This Row],[Prąd w zwarciu 12V '[A']]]*$S$3/12</f>
        <v>#DIV/0!</v>
      </c>
      <c r="O11" s="7" t="e">
        <f>Table6[[#This Row],[Moment w zwarciu 12V '[Nm/A']]]*$S$3/12</f>
        <v>#DIV/0!</v>
      </c>
      <c r="P11" s="5" t="e">
        <f>Table6[[#This Row],[Moment w zwarciu 12V '[Nm/A']]]*$S$3/12/Table6[[#This Row],[Waga]]</f>
        <v>#DIV/0!</v>
      </c>
    </row>
    <row r="12" spans="1:19" ht="18" customHeight="1" x14ac:dyDescent="0.25">
      <c r="F12" s="3" t="e">
        <f>(12-Table6[[#This Row],[Prąd 24V '[mA']]]/10000*Table6[[#This Row],[Opór uzwojeń '[U/1A']]])/(Table6[[#This Row],[RPM 24V]]*PI()/30)*1000</f>
        <v>#DIV/0!</v>
      </c>
      <c r="G12" s="4" t="e">
        <f>12/Table6[[#This Row],[Opór uzwojeń '[U/1A']]]</f>
        <v>#DIV/0!</v>
      </c>
      <c r="H12" s="5" t="e">
        <f>Table6[[#This Row],[Stała momentu '[Nm/mA']]]*(Table6[[#This Row],[Prąd w zwarciu 12V '[A']]]-Table6[[#This Row],[Prąd 24V '[mA']]]/1000)</f>
        <v>#DIV/0!</v>
      </c>
      <c r="I12" s="3" t="e">
        <f>$S$2*24/Table6[[#This Row],[RPM 24V]]</f>
        <v>#DIV/0!</v>
      </c>
      <c r="J12" s="4" t="e">
        <f>Table6[[#This Row],[Prąd w zwarciu 12V '[A']]]*Table6[[#This Row],[Napięcie (Dane RPM)]]/12</f>
        <v>#DIV/0!</v>
      </c>
      <c r="K12" s="4" t="e">
        <f>Table6[[#This Row],[Moment w zwarciu 12V '[Nm/A']]]*Table6[[#This Row],[Napięcie (Dane RPM)]]/12</f>
        <v>#DIV/0!</v>
      </c>
      <c r="L12" s="5" t="e">
        <f>Table6[[#This Row],[Moment w zwarciu 12V '[Nm/A']]]*Table6[[#This Row],[Napięcie (Dane RPM)]]/12/Table6[[#This Row],[Waga]]</f>
        <v>#DIV/0!</v>
      </c>
      <c r="M12" s="3">
        <f>Table6[[#This Row],[RPM 24V]]*$S$3/24</f>
        <v>0</v>
      </c>
      <c r="N12" s="4" t="e">
        <f>Table6[[#This Row],[Prąd w zwarciu 12V '[A']]]*$S$3/12</f>
        <v>#DIV/0!</v>
      </c>
      <c r="O12" s="7" t="e">
        <f>Table6[[#This Row],[Moment w zwarciu 12V '[Nm/A']]]*$S$3/12</f>
        <v>#DIV/0!</v>
      </c>
      <c r="P12" s="5" t="e">
        <f>Table6[[#This Row],[Moment w zwarciu 12V '[Nm/A']]]*$S$3/12/Table6[[#This Row],[Waga]]</f>
        <v>#DIV/0!</v>
      </c>
    </row>
    <row r="13" spans="1:19" ht="18" customHeight="1" x14ac:dyDescent="0.25">
      <c r="F13" s="3" t="e">
        <f>(12-Table6[[#This Row],[Prąd 24V '[mA']]]/10000*Table6[[#This Row],[Opór uzwojeń '[U/1A']]])/(Table6[[#This Row],[RPM 24V]]*PI()/30)*1000</f>
        <v>#DIV/0!</v>
      </c>
      <c r="G13" s="4" t="e">
        <f>12/Table6[[#This Row],[Opór uzwojeń '[U/1A']]]</f>
        <v>#DIV/0!</v>
      </c>
      <c r="H13" s="5" t="e">
        <f>Table6[[#This Row],[Stała momentu '[Nm/mA']]]*(Table6[[#This Row],[Prąd w zwarciu 12V '[A']]]-Table6[[#This Row],[Prąd 24V '[mA']]]/1000)</f>
        <v>#DIV/0!</v>
      </c>
      <c r="I13" s="3" t="e">
        <f>$S$2*24/Table6[[#This Row],[RPM 24V]]</f>
        <v>#DIV/0!</v>
      </c>
      <c r="J13" s="4" t="e">
        <f>Table6[[#This Row],[Prąd w zwarciu 12V '[A']]]*Table6[[#This Row],[Napięcie (Dane RPM)]]/12</f>
        <v>#DIV/0!</v>
      </c>
      <c r="K13" s="4" t="e">
        <f>Table6[[#This Row],[Moment w zwarciu 12V '[Nm/A']]]*Table6[[#This Row],[Napięcie (Dane RPM)]]/12</f>
        <v>#DIV/0!</v>
      </c>
      <c r="L13" s="5" t="e">
        <f>Table6[[#This Row],[Moment w zwarciu 12V '[Nm/A']]]*Table6[[#This Row],[Napięcie (Dane RPM)]]/12/Table6[[#This Row],[Waga]]</f>
        <v>#DIV/0!</v>
      </c>
      <c r="M13" s="3">
        <f>Table6[[#This Row],[RPM 24V]]*$S$3/24</f>
        <v>0</v>
      </c>
      <c r="N13" s="4" t="e">
        <f>Table6[[#This Row],[Prąd w zwarciu 12V '[A']]]*$S$3/12</f>
        <v>#DIV/0!</v>
      </c>
      <c r="O13" s="7" t="e">
        <f>Table6[[#This Row],[Moment w zwarciu 12V '[Nm/A']]]*$S$3/12</f>
        <v>#DIV/0!</v>
      </c>
      <c r="P13" s="5" t="e">
        <f>Table6[[#This Row],[Moment w zwarciu 12V '[Nm/A']]]*$S$3/12/Table6[[#This Row],[Waga]]</f>
        <v>#DIV/0!</v>
      </c>
    </row>
    <row r="14" spans="1:19" ht="18" customHeight="1" x14ac:dyDescent="0.25">
      <c r="F14" s="3" t="e">
        <f>(12-Table6[[#This Row],[Prąd 24V '[mA']]]/10000*Table6[[#This Row],[Opór uzwojeń '[U/1A']]])/(Table6[[#This Row],[RPM 24V]]*PI()/30)*1000</f>
        <v>#DIV/0!</v>
      </c>
      <c r="G14" s="4" t="e">
        <f>12/Table6[[#This Row],[Opór uzwojeń '[U/1A']]]</f>
        <v>#DIV/0!</v>
      </c>
      <c r="H14" s="5" t="e">
        <f>Table6[[#This Row],[Stała momentu '[Nm/mA']]]*(Table6[[#This Row],[Prąd w zwarciu 12V '[A']]]-Table6[[#This Row],[Prąd 24V '[mA']]]/1000)</f>
        <v>#DIV/0!</v>
      </c>
      <c r="I14" s="3" t="e">
        <f>$S$2*24/Table6[[#This Row],[RPM 24V]]</f>
        <v>#DIV/0!</v>
      </c>
      <c r="J14" s="4" t="e">
        <f>Table6[[#This Row],[Prąd w zwarciu 12V '[A']]]*Table6[[#This Row],[Napięcie (Dane RPM)]]/12</f>
        <v>#DIV/0!</v>
      </c>
      <c r="K14" s="4" t="e">
        <f>Table6[[#This Row],[Moment w zwarciu 12V '[Nm/A']]]*Table6[[#This Row],[Napięcie (Dane RPM)]]/12</f>
        <v>#DIV/0!</v>
      </c>
      <c r="L14" s="5" t="e">
        <f>Table6[[#This Row],[Moment w zwarciu 12V '[Nm/A']]]*Table6[[#This Row],[Napięcie (Dane RPM)]]/12/Table6[[#This Row],[Waga]]</f>
        <v>#DIV/0!</v>
      </c>
      <c r="M14" s="3">
        <f>Table6[[#This Row],[RPM 24V]]*$S$3/24</f>
        <v>0</v>
      </c>
      <c r="N14" s="4" t="e">
        <f>Table6[[#This Row],[Prąd w zwarciu 12V '[A']]]*$S$3/12</f>
        <v>#DIV/0!</v>
      </c>
      <c r="O14" s="7" t="e">
        <f>Table6[[#This Row],[Moment w zwarciu 12V '[Nm/A']]]*$S$3/12</f>
        <v>#DIV/0!</v>
      </c>
      <c r="P14" s="5" t="e">
        <f>Table6[[#This Row],[Moment w zwarciu 12V '[Nm/A']]]*$S$3/12/Table6[[#This Row],[Waga]]</f>
        <v>#DIV/0!</v>
      </c>
    </row>
    <row r="15" spans="1:19" ht="18" customHeight="1" x14ac:dyDescent="0.25">
      <c r="F15" s="3" t="e">
        <f>(12-Table6[[#This Row],[Prąd 24V '[mA']]]/10000*Table6[[#This Row],[Opór uzwojeń '[U/1A']]])/(Table6[[#This Row],[RPM 24V]]*PI()/30)*1000</f>
        <v>#DIV/0!</v>
      </c>
      <c r="G15" s="4" t="e">
        <f>12/Table6[[#This Row],[Opór uzwojeń '[U/1A']]]</f>
        <v>#DIV/0!</v>
      </c>
      <c r="H15" s="5" t="e">
        <f>Table6[[#This Row],[Stała momentu '[Nm/mA']]]*(Table6[[#This Row],[Prąd w zwarciu 12V '[A']]]-Table6[[#This Row],[Prąd 24V '[mA']]]/1000)</f>
        <v>#DIV/0!</v>
      </c>
      <c r="I15" s="3" t="e">
        <f>$S$2*24/Table6[[#This Row],[RPM 24V]]</f>
        <v>#DIV/0!</v>
      </c>
      <c r="J15" s="4" t="e">
        <f>Table6[[#This Row],[Prąd w zwarciu 12V '[A']]]*Table6[[#This Row],[Napięcie (Dane RPM)]]/12</f>
        <v>#DIV/0!</v>
      </c>
      <c r="K15" s="4" t="e">
        <f>Table6[[#This Row],[Moment w zwarciu 12V '[Nm/A']]]*Table6[[#This Row],[Napięcie (Dane RPM)]]/12</f>
        <v>#DIV/0!</v>
      </c>
      <c r="L15" s="5" t="e">
        <f>Table6[[#This Row],[Moment w zwarciu 12V '[Nm/A']]]*Table6[[#This Row],[Napięcie (Dane RPM)]]/12/Table6[[#This Row],[Waga]]</f>
        <v>#DIV/0!</v>
      </c>
      <c r="M15" s="3">
        <f>Table6[[#This Row],[RPM 24V]]*$S$3/24</f>
        <v>0</v>
      </c>
      <c r="N15" s="4" t="e">
        <f>Table6[[#This Row],[Prąd w zwarciu 12V '[A']]]*$S$3/12</f>
        <v>#DIV/0!</v>
      </c>
      <c r="O15" s="7" t="e">
        <f>Table6[[#This Row],[Moment w zwarciu 12V '[Nm/A']]]*$S$3/12</f>
        <v>#DIV/0!</v>
      </c>
      <c r="P15" s="5" t="e">
        <f>Table6[[#This Row],[Moment w zwarciu 12V '[Nm/A']]]*$S$3/12/Table6[[#This Row],[Waga]]</f>
        <v>#DIV/0!</v>
      </c>
    </row>
    <row r="16" spans="1:19" ht="18" customHeight="1" x14ac:dyDescent="0.25">
      <c r="F16" s="3" t="e">
        <f>(12-Table6[[#This Row],[Prąd 24V '[mA']]]/10000*Table6[[#This Row],[Opór uzwojeń '[U/1A']]])/(Table6[[#This Row],[RPM 24V]]*PI()/30)*1000</f>
        <v>#DIV/0!</v>
      </c>
      <c r="G16" s="4" t="e">
        <f>12/Table6[[#This Row],[Opór uzwojeń '[U/1A']]]</f>
        <v>#DIV/0!</v>
      </c>
      <c r="H16" s="5" t="e">
        <f>Table6[[#This Row],[Stała momentu '[Nm/mA']]]*(Table6[[#This Row],[Prąd w zwarciu 12V '[A']]]-Table6[[#This Row],[Prąd 24V '[mA']]]/1000)</f>
        <v>#DIV/0!</v>
      </c>
      <c r="I16" s="3" t="e">
        <f>$S$2*24/Table6[[#This Row],[RPM 24V]]</f>
        <v>#DIV/0!</v>
      </c>
      <c r="J16" s="4" t="e">
        <f>Table6[[#This Row],[Prąd w zwarciu 12V '[A']]]*Table6[[#This Row],[Napięcie (Dane RPM)]]/12</f>
        <v>#DIV/0!</v>
      </c>
      <c r="K16" s="4" t="e">
        <f>Table6[[#This Row],[Moment w zwarciu 12V '[Nm/A']]]*Table6[[#This Row],[Napięcie (Dane RPM)]]/12</f>
        <v>#DIV/0!</v>
      </c>
      <c r="L16" s="5" t="e">
        <f>Table6[[#This Row],[Moment w zwarciu 12V '[Nm/A']]]*Table6[[#This Row],[Napięcie (Dane RPM)]]/12/Table6[[#This Row],[Waga]]</f>
        <v>#DIV/0!</v>
      </c>
      <c r="M16" s="3">
        <f>Table6[[#This Row],[RPM 24V]]*$S$3/24</f>
        <v>0</v>
      </c>
      <c r="N16" s="4" t="e">
        <f>Table6[[#This Row],[Prąd w zwarciu 12V '[A']]]*$S$3/12</f>
        <v>#DIV/0!</v>
      </c>
      <c r="O16" s="7" t="e">
        <f>Table6[[#This Row],[Moment w zwarciu 12V '[Nm/A']]]*$S$3/12</f>
        <v>#DIV/0!</v>
      </c>
      <c r="P16" s="5" t="e">
        <f>Table6[[#This Row],[Moment w zwarciu 12V '[Nm/A']]]*$S$3/12/Table6[[#This Row],[Waga]]</f>
        <v>#DIV/0!</v>
      </c>
    </row>
    <row r="17" spans="6:16" ht="18" customHeight="1" x14ac:dyDescent="0.25">
      <c r="F17" s="3" t="e">
        <f>(12-Table6[[#This Row],[Prąd 24V '[mA']]]/10000*Table6[[#This Row],[Opór uzwojeń '[U/1A']]])/(Table6[[#This Row],[RPM 24V]]*PI()/30)*1000</f>
        <v>#DIV/0!</v>
      </c>
      <c r="G17" s="4" t="e">
        <f>12/Table6[[#This Row],[Opór uzwojeń '[U/1A']]]</f>
        <v>#DIV/0!</v>
      </c>
      <c r="H17" s="5" t="e">
        <f>Table6[[#This Row],[Stała momentu '[Nm/mA']]]*(Table6[[#This Row],[Prąd w zwarciu 12V '[A']]]-Table6[[#This Row],[Prąd 24V '[mA']]]/1000)</f>
        <v>#DIV/0!</v>
      </c>
      <c r="I17" s="3" t="e">
        <f>$S$2*24/Table6[[#This Row],[RPM 24V]]</f>
        <v>#DIV/0!</v>
      </c>
      <c r="J17" s="4" t="e">
        <f>Table6[[#This Row],[Prąd w zwarciu 12V '[A']]]*Table6[[#This Row],[Napięcie (Dane RPM)]]/12</f>
        <v>#DIV/0!</v>
      </c>
      <c r="K17" s="4" t="e">
        <f>Table6[[#This Row],[Moment w zwarciu 12V '[Nm/A']]]*Table6[[#This Row],[Napięcie (Dane RPM)]]/12</f>
        <v>#DIV/0!</v>
      </c>
      <c r="L17" s="5" t="e">
        <f>Table6[[#This Row],[Moment w zwarciu 12V '[Nm/A']]]*Table6[[#This Row],[Napięcie (Dane RPM)]]/12/Table6[[#This Row],[Waga]]</f>
        <v>#DIV/0!</v>
      </c>
      <c r="M17" s="3">
        <f>Table6[[#This Row],[RPM 24V]]*$S$3/24</f>
        <v>0</v>
      </c>
      <c r="N17" s="4" t="e">
        <f>Table6[[#This Row],[Prąd w zwarciu 12V '[A']]]*$S$3/12</f>
        <v>#DIV/0!</v>
      </c>
      <c r="O17" s="7" t="e">
        <f>Table6[[#This Row],[Moment w zwarciu 12V '[Nm/A']]]*$S$3/12</f>
        <v>#DIV/0!</v>
      </c>
      <c r="P17" s="5" t="e">
        <f>Table6[[#This Row],[Moment w zwarciu 12V '[Nm/A']]]*$S$3/12/Table6[[#This Row],[Waga]]</f>
        <v>#DIV/0!</v>
      </c>
    </row>
    <row r="18" spans="6:16" ht="18" customHeight="1" x14ac:dyDescent="0.25">
      <c r="F18" s="3" t="e">
        <f>(12-Table6[[#This Row],[Prąd 24V '[mA']]]/10000*Table6[[#This Row],[Opór uzwojeń '[U/1A']]])/(Table6[[#This Row],[RPM 24V]]*PI()/30)*1000</f>
        <v>#DIV/0!</v>
      </c>
      <c r="G18" s="4" t="e">
        <f>12/Table6[[#This Row],[Opór uzwojeń '[U/1A']]]</f>
        <v>#DIV/0!</v>
      </c>
      <c r="H18" s="5" t="e">
        <f>Table6[[#This Row],[Stała momentu '[Nm/mA']]]*(Table6[[#This Row],[Prąd w zwarciu 12V '[A']]]-Table6[[#This Row],[Prąd 24V '[mA']]]/1000)</f>
        <v>#DIV/0!</v>
      </c>
      <c r="I18" s="3" t="e">
        <f>$S$2*24/Table6[[#This Row],[RPM 24V]]</f>
        <v>#DIV/0!</v>
      </c>
      <c r="J18" s="4" t="e">
        <f>Table6[[#This Row],[Prąd w zwarciu 12V '[A']]]*Table6[[#This Row],[Napięcie (Dane RPM)]]/12</f>
        <v>#DIV/0!</v>
      </c>
      <c r="K18" s="4" t="e">
        <f>Table6[[#This Row],[Moment w zwarciu 12V '[Nm/A']]]*Table6[[#This Row],[Napięcie (Dane RPM)]]/12</f>
        <v>#DIV/0!</v>
      </c>
      <c r="L18" s="5" t="e">
        <f>Table6[[#This Row],[Moment w zwarciu 12V '[Nm/A']]]*Table6[[#This Row],[Napięcie (Dane RPM)]]/12/Table6[[#This Row],[Waga]]</f>
        <v>#DIV/0!</v>
      </c>
      <c r="M18" s="3">
        <f>Table6[[#This Row],[RPM 24V]]*$S$3/24</f>
        <v>0</v>
      </c>
      <c r="N18" s="4" t="e">
        <f>Table6[[#This Row],[Prąd w zwarciu 12V '[A']]]*$S$3/12</f>
        <v>#DIV/0!</v>
      </c>
      <c r="O18" s="7" t="e">
        <f>Table6[[#This Row],[Moment w zwarciu 12V '[Nm/A']]]*$S$3/12</f>
        <v>#DIV/0!</v>
      </c>
      <c r="P18" s="5" t="e">
        <f>Table6[[#This Row],[Moment w zwarciu 12V '[Nm/A']]]*$S$3/12/Table6[[#This Row],[Waga]]</f>
        <v>#DIV/0!</v>
      </c>
    </row>
    <row r="19" spans="6:16" ht="18" customHeight="1" x14ac:dyDescent="0.25">
      <c r="F19" s="3" t="e">
        <f>(12-Table6[[#This Row],[Prąd 24V '[mA']]]/10000*Table6[[#This Row],[Opór uzwojeń '[U/1A']]])/(Table6[[#This Row],[RPM 24V]]*PI()/30)*1000</f>
        <v>#DIV/0!</v>
      </c>
      <c r="G19" s="4" t="e">
        <f>12/Table6[[#This Row],[Opór uzwojeń '[U/1A']]]</f>
        <v>#DIV/0!</v>
      </c>
      <c r="H19" s="5" t="e">
        <f>Table6[[#This Row],[Stała momentu '[Nm/mA']]]*(Table6[[#This Row],[Prąd w zwarciu 12V '[A']]]-Table6[[#This Row],[Prąd 24V '[mA']]]/1000)</f>
        <v>#DIV/0!</v>
      </c>
      <c r="I19" s="3" t="e">
        <f>$S$2*24/Table6[[#This Row],[RPM 24V]]</f>
        <v>#DIV/0!</v>
      </c>
      <c r="J19" s="4" t="e">
        <f>Table6[[#This Row],[Prąd w zwarciu 12V '[A']]]*Table6[[#This Row],[Napięcie (Dane RPM)]]/12</f>
        <v>#DIV/0!</v>
      </c>
      <c r="K19" s="4" t="e">
        <f>Table6[[#This Row],[Moment w zwarciu 12V '[Nm/A']]]*Table6[[#This Row],[Napięcie (Dane RPM)]]/12</f>
        <v>#DIV/0!</v>
      </c>
      <c r="L19" s="5" t="e">
        <f>Table6[[#This Row],[Moment w zwarciu 12V '[Nm/A']]]*Table6[[#This Row],[Napięcie (Dane RPM)]]/12/Table6[[#This Row],[Waga]]</f>
        <v>#DIV/0!</v>
      </c>
      <c r="M19" s="3">
        <f>Table6[[#This Row],[RPM 24V]]*$S$3/24</f>
        <v>0</v>
      </c>
      <c r="N19" s="4" t="e">
        <f>Table6[[#This Row],[Prąd w zwarciu 12V '[A']]]*$S$3/12</f>
        <v>#DIV/0!</v>
      </c>
      <c r="O19" s="7" t="e">
        <f>Table6[[#This Row],[Moment w zwarciu 12V '[Nm/A']]]*$S$3/12</f>
        <v>#DIV/0!</v>
      </c>
      <c r="P19" s="5" t="e">
        <f>Table6[[#This Row],[Moment w zwarciu 12V '[Nm/A']]]*$S$3/12/Table6[[#This Row],[Waga]]</f>
        <v>#DIV/0!</v>
      </c>
    </row>
    <row r="20" spans="6:16" ht="18" customHeight="1" x14ac:dyDescent="0.25">
      <c r="F20" s="3" t="e">
        <f>(12-Table6[[#This Row],[Prąd 24V '[mA']]]/10000*Table6[[#This Row],[Opór uzwojeń '[U/1A']]])/(Table6[[#This Row],[RPM 24V]]*PI()/30)*1000</f>
        <v>#DIV/0!</v>
      </c>
      <c r="G20" s="4" t="e">
        <f>12/Table6[[#This Row],[Opór uzwojeń '[U/1A']]]</f>
        <v>#DIV/0!</v>
      </c>
      <c r="H20" s="5" t="e">
        <f>Table6[[#This Row],[Stała momentu '[Nm/mA']]]*(Table6[[#This Row],[Prąd w zwarciu 12V '[A']]]-Table6[[#This Row],[Prąd 24V '[mA']]]/1000)</f>
        <v>#DIV/0!</v>
      </c>
      <c r="I20" s="3" t="e">
        <f>$S$2*24/Table6[[#This Row],[RPM 24V]]</f>
        <v>#DIV/0!</v>
      </c>
      <c r="J20" s="4" t="e">
        <f>Table6[[#This Row],[Prąd w zwarciu 12V '[A']]]*Table6[[#This Row],[Napięcie (Dane RPM)]]/12</f>
        <v>#DIV/0!</v>
      </c>
      <c r="K20" s="4" t="e">
        <f>Table6[[#This Row],[Moment w zwarciu 12V '[Nm/A']]]*Table6[[#This Row],[Napięcie (Dane RPM)]]/12</f>
        <v>#DIV/0!</v>
      </c>
      <c r="L20" s="5" t="e">
        <f>Table6[[#This Row],[Moment w zwarciu 12V '[Nm/A']]]*Table6[[#This Row],[Napięcie (Dane RPM)]]/12/Table6[[#This Row],[Waga]]</f>
        <v>#DIV/0!</v>
      </c>
      <c r="M20" s="3">
        <f>Table6[[#This Row],[RPM 24V]]*$S$3/24</f>
        <v>0</v>
      </c>
      <c r="N20" s="4" t="e">
        <f>Table6[[#This Row],[Prąd w zwarciu 12V '[A']]]*$S$3/12</f>
        <v>#DIV/0!</v>
      </c>
      <c r="O20" s="7" t="e">
        <f>Table6[[#This Row],[Moment w zwarciu 12V '[Nm/A']]]*$S$3/12</f>
        <v>#DIV/0!</v>
      </c>
      <c r="P20" s="5" t="e">
        <f>Table6[[#This Row],[Moment w zwarciu 12V '[Nm/A']]]*$S$3/12/Table6[[#This Row],[Waga]]</f>
        <v>#DIV/0!</v>
      </c>
    </row>
    <row r="21" spans="6:16" ht="18" customHeight="1" x14ac:dyDescent="0.25">
      <c r="F21" s="3" t="e">
        <f>(12-Table6[[#This Row],[Prąd 24V '[mA']]]/10000*Table6[[#This Row],[Opór uzwojeń '[U/1A']]])/(Table6[[#This Row],[RPM 24V]]*PI()/30)*1000</f>
        <v>#DIV/0!</v>
      </c>
      <c r="G21" s="4" t="e">
        <f>12/Table6[[#This Row],[Opór uzwojeń '[U/1A']]]</f>
        <v>#DIV/0!</v>
      </c>
      <c r="H21" s="5" t="e">
        <f>Table6[[#This Row],[Stała momentu '[Nm/mA']]]*(Table6[[#This Row],[Prąd w zwarciu 12V '[A']]]-Table6[[#This Row],[Prąd 24V '[mA']]]/1000)</f>
        <v>#DIV/0!</v>
      </c>
      <c r="I21" s="3" t="e">
        <f>$S$2*24/Table6[[#This Row],[RPM 24V]]</f>
        <v>#DIV/0!</v>
      </c>
      <c r="J21" s="4" t="e">
        <f>Table6[[#This Row],[Prąd w zwarciu 12V '[A']]]*Table6[[#This Row],[Napięcie (Dane RPM)]]/12</f>
        <v>#DIV/0!</v>
      </c>
      <c r="K21" s="4" t="e">
        <f>Table6[[#This Row],[Moment w zwarciu 12V '[Nm/A']]]*Table6[[#This Row],[Napięcie (Dane RPM)]]/12</f>
        <v>#DIV/0!</v>
      </c>
      <c r="L21" s="5" t="e">
        <f>Table6[[#This Row],[Moment w zwarciu 12V '[Nm/A']]]*Table6[[#This Row],[Napięcie (Dane RPM)]]/12/Table6[[#This Row],[Waga]]</f>
        <v>#DIV/0!</v>
      </c>
      <c r="M21" s="3">
        <f>Table6[[#This Row],[RPM 24V]]*$S$3/24</f>
        <v>0</v>
      </c>
      <c r="N21" s="4" t="e">
        <f>Table6[[#This Row],[Prąd w zwarciu 12V '[A']]]*$S$3/12</f>
        <v>#DIV/0!</v>
      </c>
      <c r="O21" s="7" t="e">
        <f>Table6[[#This Row],[Moment w zwarciu 12V '[Nm/A']]]*$S$3/12</f>
        <v>#DIV/0!</v>
      </c>
      <c r="P21" s="5" t="e">
        <f>Table6[[#This Row],[Moment w zwarciu 12V '[Nm/A']]]*$S$3/12/Table6[[#This Row],[Waga]]</f>
        <v>#DIV/0!</v>
      </c>
    </row>
    <row r="22" spans="6:16" ht="18" customHeight="1" x14ac:dyDescent="0.25">
      <c r="F22" s="3" t="e">
        <f>(12-Table6[[#This Row],[Prąd 24V '[mA']]]/10000*Table6[[#This Row],[Opór uzwojeń '[U/1A']]])/(Table6[[#This Row],[RPM 24V]]*PI()/30)*1000</f>
        <v>#DIV/0!</v>
      </c>
      <c r="G22" s="4" t="e">
        <f>12/Table6[[#This Row],[Opór uzwojeń '[U/1A']]]</f>
        <v>#DIV/0!</v>
      </c>
      <c r="H22" s="5" t="e">
        <f>Table6[[#This Row],[Stała momentu '[Nm/mA']]]*(Table6[[#This Row],[Prąd w zwarciu 12V '[A']]]-Table6[[#This Row],[Prąd 24V '[mA']]]/1000)</f>
        <v>#DIV/0!</v>
      </c>
      <c r="I22" s="3" t="e">
        <f>$S$2*24/Table6[[#This Row],[RPM 24V]]</f>
        <v>#DIV/0!</v>
      </c>
      <c r="J22" s="4" t="e">
        <f>Table6[[#This Row],[Prąd w zwarciu 12V '[A']]]*Table6[[#This Row],[Napięcie (Dane RPM)]]/12</f>
        <v>#DIV/0!</v>
      </c>
      <c r="K22" s="4" t="e">
        <f>Table6[[#This Row],[Moment w zwarciu 12V '[Nm/A']]]*Table6[[#This Row],[Napięcie (Dane RPM)]]/12</f>
        <v>#DIV/0!</v>
      </c>
      <c r="L22" s="5" t="e">
        <f>Table6[[#This Row],[Moment w zwarciu 12V '[Nm/A']]]*Table6[[#This Row],[Napięcie (Dane RPM)]]/12/Table6[[#This Row],[Waga]]</f>
        <v>#DIV/0!</v>
      </c>
      <c r="M22" s="3">
        <f>Table6[[#This Row],[RPM 24V]]*$S$3/24</f>
        <v>0</v>
      </c>
      <c r="N22" s="4" t="e">
        <f>Table6[[#This Row],[Prąd w zwarciu 12V '[A']]]*$S$3/12</f>
        <v>#DIV/0!</v>
      </c>
      <c r="O22" s="7" t="e">
        <f>Table6[[#This Row],[Moment w zwarciu 12V '[Nm/A']]]*$S$3/12</f>
        <v>#DIV/0!</v>
      </c>
      <c r="P22" s="5" t="e">
        <f>Table6[[#This Row],[Moment w zwarciu 12V '[Nm/A']]]*$S$3/12/Table6[[#This Row],[Waga]]</f>
        <v>#DIV/0!</v>
      </c>
    </row>
    <row r="23" spans="6:16" ht="18" customHeight="1" x14ac:dyDescent="0.25">
      <c r="F23" s="3" t="e">
        <f>(12-Table6[[#This Row],[Prąd 24V '[mA']]]/10000*Table6[[#This Row],[Opór uzwojeń '[U/1A']]])/(Table6[[#This Row],[RPM 24V]]*PI()/30)*1000</f>
        <v>#DIV/0!</v>
      </c>
      <c r="G23" s="4" t="e">
        <f>12/Table6[[#This Row],[Opór uzwojeń '[U/1A']]]</f>
        <v>#DIV/0!</v>
      </c>
      <c r="H23" s="5" t="e">
        <f>Table6[[#This Row],[Stała momentu '[Nm/mA']]]*(Table6[[#This Row],[Prąd w zwarciu 12V '[A']]]-Table6[[#This Row],[Prąd 24V '[mA']]]/1000)</f>
        <v>#DIV/0!</v>
      </c>
      <c r="I23" s="3" t="e">
        <f>$S$2*24/Table6[[#This Row],[RPM 24V]]</f>
        <v>#DIV/0!</v>
      </c>
      <c r="J23" s="4" t="e">
        <f>Table6[[#This Row],[Prąd w zwarciu 12V '[A']]]*Table6[[#This Row],[Napięcie (Dane RPM)]]/12</f>
        <v>#DIV/0!</v>
      </c>
      <c r="K23" s="4" t="e">
        <f>Table6[[#This Row],[Moment w zwarciu 12V '[Nm/A']]]*Table6[[#This Row],[Napięcie (Dane RPM)]]/12</f>
        <v>#DIV/0!</v>
      </c>
      <c r="L23" s="5" t="e">
        <f>Table6[[#This Row],[Moment w zwarciu 12V '[Nm/A']]]*Table6[[#This Row],[Napięcie (Dane RPM)]]/12/Table6[[#This Row],[Waga]]</f>
        <v>#DIV/0!</v>
      </c>
      <c r="M23" s="3">
        <f>Table6[[#This Row],[RPM 24V]]*$S$3/24</f>
        <v>0</v>
      </c>
      <c r="N23" s="4" t="e">
        <f>Table6[[#This Row],[Prąd w zwarciu 12V '[A']]]*$S$3/12</f>
        <v>#DIV/0!</v>
      </c>
      <c r="O23" s="7" t="e">
        <f>Table6[[#This Row],[Moment w zwarciu 12V '[Nm/A']]]*$S$3/12</f>
        <v>#DIV/0!</v>
      </c>
      <c r="P23" s="5" t="e">
        <f>Table6[[#This Row],[Moment w zwarciu 12V '[Nm/A']]]*$S$3/12/Table6[[#This Row],[Waga]]</f>
        <v>#DIV/0!</v>
      </c>
    </row>
    <row r="24" spans="6:16" ht="18" customHeight="1" x14ac:dyDescent="0.25">
      <c r="F24" s="3" t="e">
        <f>(12-Table6[[#This Row],[Prąd 24V '[mA']]]/10000*Table6[[#This Row],[Opór uzwojeń '[U/1A']]])/(Table6[[#This Row],[RPM 24V]]*PI()/30)*1000</f>
        <v>#DIV/0!</v>
      </c>
      <c r="G24" s="4" t="e">
        <f>12/Table6[[#This Row],[Opór uzwojeń '[U/1A']]]</f>
        <v>#DIV/0!</v>
      </c>
      <c r="H24" s="5" t="e">
        <f>Table6[[#This Row],[Stała momentu '[Nm/mA']]]*(Table6[[#This Row],[Prąd w zwarciu 12V '[A']]]-Table6[[#This Row],[Prąd 24V '[mA']]]/1000)</f>
        <v>#DIV/0!</v>
      </c>
      <c r="I24" s="3" t="e">
        <f>$S$2*24/Table6[[#This Row],[RPM 24V]]</f>
        <v>#DIV/0!</v>
      </c>
      <c r="J24" s="4" t="e">
        <f>Table6[[#This Row],[Prąd w zwarciu 12V '[A']]]*Table6[[#This Row],[Napięcie (Dane RPM)]]/12</f>
        <v>#DIV/0!</v>
      </c>
      <c r="K24" s="4" t="e">
        <f>Table6[[#This Row],[Moment w zwarciu 12V '[Nm/A']]]*Table6[[#This Row],[Napięcie (Dane RPM)]]/12</f>
        <v>#DIV/0!</v>
      </c>
      <c r="L24" s="5" t="e">
        <f>Table6[[#This Row],[Moment w zwarciu 12V '[Nm/A']]]*Table6[[#This Row],[Napięcie (Dane RPM)]]/12/Table6[[#This Row],[Waga]]</f>
        <v>#DIV/0!</v>
      </c>
      <c r="M24" s="3">
        <f>Table6[[#This Row],[RPM 24V]]*$S$3/24</f>
        <v>0</v>
      </c>
      <c r="N24" s="4" t="e">
        <f>Table6[[#This Row],[Prąd w zwarciu 12V '[A']]]*$S$3/12</f>
        <v>#DIV/0!</v>
      </c>
      <c r="O24" s="7" t="e">
        <f>Table6[[#This Row],[Moment w zwarciu 12V '[Nm/A']]]*$S$3/12</f>
        <v>#DIV/0!</v>
      </c>
      <c r="P24" s="5" t="e">
        <f>Table6[[#This Row],[Moment w zwarciu 12V '[Nm/A']]]*$S$3/12/Table6[[#This Row],[Waga]]</f>
        <v>#DIV/0!</v>
      </c>
    </row>
    <row r="25" spans="6:16" ht="18" customHeight="1" x14ac:dyDescent="0.25">
      <c r="F25" s="3" t="e">
        <f>(12-Table6[[#This Row],[Prąd 24V '[mA']]]/10000*Table6[[#This Row],[Opór uzwojeń '[U/1A']]])/(Table6[[#This Row],[RPM 24V]]*PI()/30)*1000</f>
        <v>#DIV/0!</v>
      </c>
      <c r="G25" s="4" t="e">
        <f>12/Table6[[#This Row],[Opór uzwojeń '[U/1A']]]</f>
        <v>#DIV/0!</v>
      </c>
      <c r="H25" s="5" t="e">
        <f>Table6[[#This Row],[Stała momentu '[Nm/mA']]]*(Table6[[#This Row],[Prąd w zwarciu 12V '[A']]]-Table6[[#This Row],[Prąd 24V '[mA']]]/1000)</f>
        <v>#DIV/0!</v>
      </c>
      <c r="I25" s="3" t="e">
        <f>$S$2*24/Table6[[#This Row],[RPM 24V]]</f>
        <v>#DIV/0!</v>
      </c>
      <c r="J25" s="4" t="e">
        <f>Table6[[#This Row],[Prąd w zwarciu 12V '[A']]]*Table6[[#This Row],[Napięcie (Dane RPM)]]/12</f>
        <v>#DIV/0!</v>
      </c>
      <c r="K25" s="4" t="e">
        <f>Table6[[#This Row],[Moment w zwarciu 12V '[Nm/A']]]*Table6[[#This Row],[Napięcie (Dane RPM)]]/12</f>
        <v>#DIV/0!</v>
      </c>
      <c r="L25" s="5" t="e">
        <f>Table6[[#This Row],[Moment w zwarciu 12V '[Nm/A']]]*Table6[[#This Row],[Napięcie (Dane RPM)]]/12/Table6[[#This Row],[Waga]]</f>
        <v>#DIV/0!</v>
      </c>
      <c r="M25" s="3">
        <f>Table6[[#This Row],[RPM 24V]]*$S$3/24</f>
        <v>0</v>
      </c>
      <c r="N25" s="4" t="e">
        <f>Table6[[#This Row],[Prąd w zwarciu 12V '[A']]]*$S$3/12</f>
        <v>#DIV/0!</v>
      </c>
      <c r="O25" s="7" t="e">
        <f>Table6[[#This Row],[Moment w zwarciu 12V '[Nm/A']]]*$S$3/12</f>
        <v>#DIV/0!</v>
      </c>
      <c r="P25" s="5" t="e">
        <f>Table6[[#This Row],[Moment w zwarciu 12V '[Nm/A']]]*$S$3/12/Table6[[#This Row],[Waga]]</f>
        <v>#DIV/0!</v>
      </c>
    </row>
    <row r="26" spans="6:16" ht="18" customHeight="1" x14ac:dyDescent="0.25">
      <c r="F26" s="3" t="e">
        <f>(12-Table6[[#This Row],[Prąd 24V '[mA']]]/10000*Table6[[#This Row],[Opór uzwojeń '[U/1A']]])/(Table6[[#This Row],[RPM 24V]]*PI()/30)*1000</f>
        <v>#DIV/0!</v>
      </c>
      <c r="G26" s="4" t="e">
        <f>12/Table6[[#This Row],[Opór uzwojeń '[U/1A']]]</f>
        <v>#DIV/0!</v>
      </c>
      <c r="H26" s="5" t="e">
        <f>Table6[[#This Row],[Stała momentu '[Nm/mA']]]*(Table6[[#This Row],[Prąd w zwarciu 12V '[A']]]-Table6[[#This Row],[Prąd 24V '[mA']]]/1000)</f>
        <v>#DIV/0!</v>
      </c>
      <c r="I26" s="3" t="e">
        <f>$S$2*24/Table6[[#This Row],[RPM 24V]]</f>
        <v>#DIV/0!</v>
      </c>
      <c r="J26" s="4" t="e">
        <f>Table6[[#This Row],[Prąd w zwarciu 12V '[A']]]*Table6[[#This Row],[Napięcie (Dane RPM)]]/12</f>
        <v>#DIV/0!</v>
      </c>
      <c r="K26" s="4" t="e">
        <f>Table6[[#This Row],[Moment w zwarciu 12V '[Nm/A']]]*Table6[[#This Row],[Napięcie (Dane RPM)]]/12</f>
        <v>#DIV/0!</v>
      </c>
      <c r="L26" s="5" t="e">
        <f>Table6[[#This Row],[Moment w zwarciu 12V '[Nm/A']]]*Table6[[#This Row],[Napięcie (Dane RPM)]]/12/Table6[[#This Row],[Waga]]</f>
        <v>#DIV/0!</v>
      </c>
      <c r="M26" s="3">
        <f>Table6[[#This Row],[RPM 24V]]*$S$3/24</f>
        <v>0</v>
      </c>
      <c r="N26" s="4" t="e">
        <f>Table6[[#This Row],[Prąd w zwarciu 12V '[A']]]*$S$3/12</f>
        <v>#DIV/0!</v>
      </c>
      <c r="O26" s="7" t="e">
        <f>Table6[[#This Row],[Moment w zwarciu 12V '[Nm/A']]]*$S$3/12</f>
        <v>#DIV/0!</v>
      </c>
      <c r="P26" s="5" t="e">
        <f>Table6[[#This Row],[Moment w zwarciu 12V '[Nm/A']]]*$S$3/12/Table6[[#This Row],[Waga]]</f>
        <v>#DIV/0!</v>
      </c>
    </row>
    <row r="27" spans="6:16" ht="18" customHeight="1" x14ac:dyDescent="0.25">
      <c r="F27" s="3" t="e">
        <f>(12-Table6[[#This Row],[Prąd 24V '[mA']]]/10000*Table6[[#This Row],[Opór uzwojeń '[U/1A']]])/(Table6[[#This Row],[RPM 24V]]*PI()/30)*1000</f>
        <v>#DIV/0!</v>
      </c>
      <c r="G27" s="4" t="e">
        <f>12/Table6[[#This Row],[Opór uzwojeń '[U/1A']]]</f>
        <v>#DIV/0!</v>
      </c>
      <c r="H27" s="5" t="e">
        <f>Table6[[#This Row],[Stała momentu '[Nm/mA']]]*(Table6[[#This Row],[Prąd w zwarciu 12V '[A']]]-Table6[[#This Row],[Prąd 24V '[mA']]]/1000)</f>
        <v>#DIV/0!</v>
      </c>
      <c r="I27" s="3" t="e">
        <f>$S$2*24/Table6[[#This Row],[RPM 24V]]</f>
        <v>#DIV/0!</v>
      </c>
      <c r="J27" s="4" t="e">
        <f>Table6[[#This Row],[Prąd w zwarciu 12V '[A']]]*Table6[[#This Row],[Napięcie (Dane RPM)]]/12</f>
        <v>#DIV/0!</v>
      </c>
      <c r="K27" s="4" t="e">
        <f>Table6[[#This Row],[Moment w zwarciu 12V '[Nm/A']]]*Table6[[#This Row],[Napięcie (Dane RPM)]]/12</f>
        <v>#DIV/0!</v>
      </c>
      <c r="L27" s="5" t="e">
        <f>Table6[[#This Row],[Moment w zwarciu 12V '[Nm/A']]]*Table6[[#This Row],[Napięcie (Dane RPM)]]/12/Table6[[#This Row],[Waga]]</f>
        <v>#DIV/0!</v>
      </c>
      <c r="M27" s="3">
        <f>Table6[[#This Row],[RPM 24V]]*$S$3/24</f>
        <v>0</v>
      </c>
      <c r="N27" s="4" t="e">
        <f>Table6[[#This Row],[Prąd w zwarciu 12V '[A']]]*$S$3/12</f>
        <v>#DIV/0!</v>
      </c>
      <c r="O27" s="7" t="e">
        <f>Table6[[#This Row],[Moment w zwarciu 12V '[Nm/A']]]*$S$3/12</f>
        <v>#DIV/0!</v>
      </c>
      <c r="P27" s="5" t="e">
        <f>Table6[[#This Row],[Moment w zwarciu 12V '[Nm/A']]]*$S$3/12/Table6[[#This Row],[Waga]]</f>
        <v>#DIV/0!</v>
      </c>
    </row>
    <row r="28" spans="6:16" ht="18" customHeight="1" x14ac:dyDescent="0.25">
      <c r="F28" s="3" t="e">
        <f>(12-Table6[[#This Row],[Prąd 24V '[mA']]]/10000*Table6[[#This Row],[Opór uzwojeń '[U/1A']]])/(Table6[[#This Row],[RPM 24V]]*PI()/30)*1000</f>
        <v>#DIV/0!</v>
      </c>
      <c r="G28" s="4" t="e">
        <f>12/Table6[[#This Row],[Opór uzwojeń '[U/1A']]]</f>
        <v>#DIV/0!</v>
      </c>
      <c r="H28" s="5" t="e">
        <f>Table6[[#This Row],[Stała momentu '[Nm/mA']]]*(Table6[[#This Row],[Prąd w zwarciu 12V '[A']]]-Table6[[#This Row],[Prąd 24V '[mA']]]/1000)</f>
        <v>#DIV/0!</v>
      </c>
      <c r="I28" s="3" t="e">
        <f>$S$2*24/Table6[[#This Row],[RPM 24V]]</f>
        <v>#DIV/0!</v>
      </c>
      <c r="J28" s="4" t="e">
        <f>Table6[[#This Row],[Prąd w zwarciu 12V '[A']]]*Table6[[#This Row],[Napięcie (Dane RPM)]]/12</f>
        <v>#DIV/0!</v>
      </c>
      <c r="K28" s="4" t="e">
        <f>Table6[[#This Row],[Moment w zwarciu 12V '[Nm/A']]]*Table6[[#This Row],[Napięcie (Dane RPM)]]/12</f>
        <v>#DIV/0!</v>
      </c>
      <c r="L28" s="5" t="e">
        <f>Table6[[#This Row],[Moment w zwarciu 12V '[Nm/A']]]*Table6[[#This Row],[Napięcie (Dane RPM)]]/12/Table6[[#This Row],[Waga]]</f>
        <v>#DIV/0!</v>
      </c>
      <c r="M28" s="3">
        <f>Table6[[#This Row],[RPM 24V]]*$S$3/24</f>
        <v>0</v>
      </c>
      <c r="N28" s="4" t="e">
        <f>Table6[[#This Row],[Prąd w zwarciu 12V '[A']]]*$S$3/12</f>
        <v>#DIV/0!</v>
      </c>
      <c r="O28" s="7" t="e">
        <f>Table6[[#This Row],[Moment w zwarciu 12V '[Nm/A']]]*$S$3/12</f>
        <v>#DIV/0!</v>
      </c>
      <c r="P28" s="5" t="e">
        <f>Table6[[#This Row],[Moment w zwarciu 12V '[Nm/A']]]*$S$3/12/Table6[[#This Row],[Waga]]</f>
        <v>#DIV/0!</v>
      </c>
    </row>
    <row r="29" spans="6:16" ht="18" customHeight="1" x14ac:dyDescent="0.25">
      <c r="F29" s="3" t="e">
        <f>(12-Table6[[#This Row],[Prąd 24V '[mA']]]/10000*Table6[[#This Row],[Opór uzwojeń '[U/1A']]])/(Table6[[#This Row],[RPM 24V]]*PI()/30)*1000</f>
        <v>#DIV/0!</v>
      </c>
      <c r="G29" s="4" t="e">
        <f>12/Table6[[#This Row],[Opór uzwojeń '[U/1A']]]</f>
        <v>#DIV/0!</v>
      </c>
      <c r="H29" s="5" t="e">
        <f>Table6[[#This Row],[Stała momentu '[Nm/mA']]]*(Table6[[#This Row],[Prąd w zwarciu 12V '[A']]]-Table6[[#This Row],[Prąd 24V '[mA']]]/1000)</f>
        <v>#DIV/0!</v>
      </c>
      <c r="I29" s="3" t="e">
        <f>$S$2*24/Table6[[#This Row],[RPM 24V]]</f>
        <v>#DIV/0!</v>
      </c>
      <c r="J29" s="4" t="e">
        <f>Table6[[#This Row],[Prąd w zwarciu 12V '[A']]]*Table6[[#This Row],[Napięcie (Dane RPM)]]/12</f>
        <v>#DIV/0!</v>
      </c>
      <c r="K29" s="4" t="e">
        <f>Table6[[#This Row],[Moment w zwarciu 12V '[Nm/A']]]*Table6[[#This Row],[Napięcie (Dane RPM)]]/12</f>
        <v>#DIV/0!</v>
      </c>
      <c r="L29" s="5" t="e">
        <f>Table6[[#This Row],[Moment w zwarciu 12V '[Nm/A']]]*Table6[[#This Row],[Napięcie (Dane RPM)]]/12/Table6[[#This Row],[Waga]]</f>
        <v>#DIV/0!</v>
      </c>
      <c r="M29" s="3">
        <f>Table6[[#This Row],[RPM 24V]]*$S$3/24</f>
        <v>0</v>
      </c>
      <c r="N29" s="4" t="e">
        <f>Table6[[#This Row],[Prąd w zwarciu 12V '[A']]]*$S$3/12</f>
        <v>#DIV/0!</v>
      </c>
      <c r="O29" s="7" t="e">
        <f>Table6[[#This Row],[Moment w zwarciu 12V '[Nm/A']]]*$S$3/12</f>
        <v>#DIV/0!</v>
      </c>
      <c r="P29" s="5" t="e">
        <f>Table6[[#This Row],[Moment w zwarciu 12V '[Nm/A']]]*$S$3/12/Table6[[#This Row],[Waga]]</f>
        <v>#DIV/0!</v>
      </c>
    </row>
    <row r="30" spans="6:16" ht="18" customHeight="1" x14ac:dyDescent="0.25">
      <c r="F30" s="3" t="e">
        <f>(12-Table6[[#This Row],[Prąd 24V '[mA']]]/10000*Table6[[#This Row],[Opór uzwojeń '[U/1A']]])/(Table6[[#This Row],[RPM 24V]]*PI()/30)*1000</f>
        <v>#DIV/0!</v>
      </c>
      <c r="G30" s="4" t="e">
        <f>12/Table6[[#This Row],[Opór uzwojeń '[U/1A']]]</f>
        <v>#DIV/0!</v>
      </c>
      <c r="H30" s="5" t="e">
        <f>Table6[[#This Row],[Stała momentu '[Nm/mA']]]*(Table6[[#This Row],[Prąd w zwarciu 12V '[A']]]-Table6[[#This Row],[Prąd 24V '[mA']]]/1000)</f>
        <v>#DIV/0!</v>
      </c>
      <c r="I30" s="3" t="e">
        <f>$S$2*24/Table6[[#This Row],[RPM 24V]]</f>
        <v>#DIV/0!</v>
      </c>
      <c r="J30" s="4" t="e">
        <f>Table6[[#This Row],[Prąd w zwarciu 12V '[A']]]*Table6[[#This Row],[Napięcie (Dane RPM)]]/12</f>
        <v>#DIV/0!</v>
      </c>
      <c r="K30" s="4" t="e">
        <f>Table6[[#This Row],[Moment w zwarciu 12V '[Nm/A']]]*Table6[[#This Row],[Napięcie (Dane RPM)]]/12</f>
        <v>#DIV/0!</v>
      </c>
      <c r="L30" s="5" t="e">
        <f>Table6[[#This Row],[Moment w zwarciu 12V '[Nm/A']]]*Table6[[#This Row],[Napięcie (Dane RPM)]]/12/Table6[[#This Row],[Waga]]</f>
        <v>#DIV/0!</v>
      </c>
      <c r="M30" s="3">
        <f>Table6[[#This Row],[RPM 24V]]*$S$3/24</f>
        <v>0</v>
      </c>
      <c r="N30" s="4" t="e">
        <f>Table6[[#This Row],[Prąd w zwarciu 12V '[A']]]*$S$3/12</f>
        <v>#DIV/0!</v>
      </c>
      <c r="O30" s="7" t="e">
        <f>Table6[[#This Row],[Moment w zwarciu 12V '[Nm/A']]]*$S$3/12</f>
        <v>#DIV/0!</v>
      </c>
      <c r="P30" s="5" t="e">
        <f>Table6[[#This Row],[Moment w zwarciu 12V '[Nm/A']]]*$S$3/12/Table6[[#This Row],[Waga]]</f>
        <v>#DIV/0!</v>
      </c>
    </row>
    <row r="31" spans="6:16" ht="18" customHeight="1" x14ac:dyDescent="0.25">
      <c r="F31" s="3" t="e">
        <f>(12-Table6[[#This Row],[Prąd 24V '[mA']]]/10000*Table6[[#This Row],[Opór uzwojeń '[U/1A']]])/(Table6[[#This Row],[RPM 24V]]*PI()/30)*1000</f>
        <v>#DIV/0!</v>
      </c>
      <c r="G31" s="4" t="e">
        <f>12/Table6[[#This Row],[Opór uzwojeń '[U/1A']]]</f>
        <v>#DIV/0!</v>
      </c>
      <c r="H31" s="5" t="e">
        <f>Table6[[#This Row],[Stała momentu '[Nm/mA']]]*(Table6[[#This Row],[Prąd w zwarciu 12V '[A']]]-Table6[[#This Row],[Prąd 24V '[mA']]]/1000)</f>
        <v>#DIV/0!</v>
      </c>
      <c r="I31" s="3" t="e">
        <f>$S$2*24/Table6[[#This Row],[RPM 24V]]</f>
        <v>#DIV/0!</v>
      </c>
      <c r="J31" s="4" t="e">
        <f>Table6[[#This Row],[Prąd w zwarciu 12V '[A']]]*Table6[[#This Row],[Napięcie (Dane RPM)]]/12</f>
        <v>#DIV/0!</v>
      </c>
      <c r="K31" s="4" t="e">
        <f>Table6[[#This Row],[Moment w zwarciu 12V '[Nm/A']]]*Table6[[#This Row],[Napięcie (Dane RPM)]]/12</f>
        <v>#DIV/0!</v>
      </c>
      <c r="L31" s="5" t="e">
        <f>Table6[[#This Row],[Moment w zwarciu 12V '[Nm/A']]]*Table6[[#This Row],[Napięcie (Dane RPM)]]/12/Table6[[#This Row],[Waga]]</f>
        <v>#DIV/0!</v>
      </c>
      <c r="M31" s="3">
        <f>Table6[[#This Row],[RPM 24V]]*$S$3/24</f>
        <v>0</v>
      </c>
      <c r="N31" s="4" t="e">
        <f>Table6[[#This Row],[Prąd w zwarciu 12V '[A']]]*$S$3/12</f>
        <v>#DIV/0!</v>
      </c>
      <c r="O31" s="7" t="e">
        <f>Table6[[#This Row],[Moment w zwarciu 12V '[Nm/A']]]*$S$3/12</f>
        <v>#DIV/0!</v>
      </c>
      <c r="P31" s="5" t="e">
        <f>Table6[[#This Row],[Moment w zwarciu 12V '[Nm/A']]]*$S$3/12/Table6[[#This Row],[Waga]]</f>
        <v>#DIV/0!</v>
      </c>
    </row>
    <row r="32" spans="6:16" ht="18" customHeight="1" x14ac:dyDescent="0.25">
      <c r="F32" s="3" t="e">
        <f>(12-Table6[[#This Row],[Prąd 24V '[mA']]]/10000*Table6[[#This Row],[Opór uzwojeń '[U/1A']]])/(Table6[[#This Row],[RPM 24V]]*PI()/30)*1000</f>
        <v>#DIV/0!</v>
      </c>
      <c r="G32" s="4" t="e">
        <f>12/Table6[[#This Row],[Opór uzwojeń '[U/1A']]]</f>
        <v>#DIV/0!</v>
      </c>
      <c r="H32" s="5" t="e">
        <f>Table6[[#This Row],[Stała momentu '[Nm/mA']]]*(Table6[[#This Row],[Prąd w zwarciu 12V '[A']]]-Table6[[#This Row],[Prąd 24V '[mA']]]/1000)</f>
        <v>#DIV/0!</v>
      </c>
      <c r="I32" s="3" t="e">
        <f>$S$2*24/Table6[[#This Row],[RPM 24V]]</f>
        <v>#DIV/0!</v>
      </c>
      <c r="J32" s="4" t="e">
        <f>Table6[[#This Row],[Prąd w zwarciu 12V '[A']]]*Table6[[#This Row],[Napięcie (Dane RPM)]]/12</f>
        <v>#DIV/0!</v>
      </c>
      <c r="K32" s="4" t="e">
        <f>Table6[[#This Row],[Moment w zwarciu 12V '[Nm/A']]]*Table6[[#This Row],[Napięcie (Dane RPM)]]/12</f>
        <v>#DIV/0!</v>
      </c>
      <c r="L32" s="5" t="e">
        <f>Table6[[#This Row],[Moment w zwarciu 12V '[Nm/A']]]*Table6[[#This Row],[Napięcie (Dane RPM)]]/12/Table6[[#This Row],[Waga]]</f>
        <v>#DIV/0!</v>
      </c>
      <c r="M32" s="3">
        <f>Table6[[#This Row],[RPM 24V]]*$S$3/24</f>
        <v>0</v>
      </c>
      <c r="N32" s="4" t="e">
        <f>Table6[[#This Row],[Prąd w zwarciu 12V '[A']]]*$S$3/12</f>
        <v>#DIV/0!</v>
      </c>
      <c r="O32" s="7" t="e">
        <f>Table6[[#This Row],[Moment w zwarciu 12V '[Nm/A']]]*$S$3/12</f>
        <v>#DIV/0!</v>
      </c>
      <c r="P32" s="5" t="e">
        <f>Table6[[#This Row],[Moment w zwarciu 12V '[Nm/A']]]*$S$3/12/Table6[[#This Row],[Waga]]</f>
        <v>#DIV/0!</v>
      </c>
    </row>
    <row r="33" spans="6:16" ht="18" customHeight="1" x14ac:dyDescent="0.25">
      <c r="F33" s="3" t="e">
        <f>(12-Table6[[#This Row],[Prąd 24V '[mA']]]/10000*Table6[[#This Row],[Opór uzwojeń '[U/1A']]])/(Table6[[#This Row],[RPM 24V]]*PI()/30)*1000</f>
        <v>#DIV/0!</v>
      </c>
      <c r="G33" s="4" t="e">
        <f>12/Table6[[#This Row],[Opór uzwojeń '[U/1A']]]</f>
        <v>#DIV/0!</v>
      </c>
      <c r="H33" s="5" t="e">
        <f>Table6[[#This Row],[Stała momentu '[Nm/mA']]]*(Table6[[#This Row],[Prąd w zwarciu 12V '[A']]]-Table6[[#This Row],[Prąd 24V '[mA']]]/1000)</f>
        <v>#DIV/0!</v>
      </c>
      <c r="I33" s="3" t="e">
        <f>$S$2*24/Table6[[#This Row],[RPM 24V]]</f>
        <v>#DIV/0!</v>
      </c>
      <c r="J33" s="4" t="e">
        <f>Table6[[#This Row],[Prąd w zwarciu 12V '[A']]]*Table6[[#This Row],[Napięcie (Dane RPM)]]/12</f>
        <v>#DIV/0!</v>
      </c>
      <c r="K33" s="4" t="e">
        <f>Table6[[#This Row],[Moment w zwarciu 12V '[Nm/A']]]*Table6[[#This Row],[Napięcie (Dane RPM)]]/12</f>
        <v>#DIV/0!</v>
      </c>
      <c r="L33" s="5" t="e">
        <f>Table6[[#This Row],[Moment w zwarciu 12V '[Nm/A']]]*Table6[[#This Row],[Napięcie (Dane RPM)]]/12/Table6[[#This Row],[Waga]]</f>
        <v>#DIV/0!</v>
      </c>
      <c r="M33" s="3">
        <f>Table6[[#This Row],[RPM 24V]]*$S$3/24</f>
        <v>0</v>
      </c>
      <c r="N33" s="4" t="e">
        <f>Table6[[#This Row],[Prąd w zwarciu 12V '[A']]]*$S$3/12</f>
        <v>#DIV/0!</v>
      </c>
      <c r="O33" s="7" t="e">
        <f>Table6[[#This Row],[Moment w zwarciu 12V '[Nm/A']]]*$S$3/12</f>
        <v>#DIV/0!</v>
      </c>
      <c r="P33" s="5" t="e">
        <f>Table6[[#This Row],[Moment w zwarciu 12V '[Nm/A']]]*$S$3/12/Table6[[#This Row],[Waga]]</f>
        <v>#DIV/0!</v>
      </c>
    </row>
    <row r="34" spans="6:16" ht="18" customHeight="1" x14ac:dyDescent="0.25">
      <c r="F34" s="3" t="e">
        <f>(12-Table6[[#This Row],[Prąd 24V '[mA']]]/10000*Table6[[#This Row],[Opór uzwojeń '[U/1A']]])/(Table6[[#This Row],[RPM 24V]]*PI()/30)*1000</f>
        <v>#DIV/0!</v>
      </c>
      <c r="G34" s="4" t="e">
        <f>12/Table6[[#This Row],[Opór uzwojeń '[U/1A']]]</f>
        <v>#DIV/0!</v>
      </c>
      <c r="H34" s="5" t="e">
        <f>Table6[[#This Row],[Stała momentu '[Nm/mA']]]*(Table6[[#This Row],[Prąd w zwarciu 12V '[A']]]-Table6[[#This Row],[Prąd 24V '[mA']]]/1000)</f>
        <v>#DIV/0!</v>
      </c>
      <c r="I34" s="3" t="e">
        <f>$S$2*24/Table6[[#This Row],[RPM 24V]]</f>
        <v>#DIV/0!</v>
      </c>
      <c r="J34" s="4" t="e">
        <f>Table6[[#This Row],[Prąd w zwarciu 12V '[A']]]*Table6[[#This Row],[Napięcie (Dane RPM)]]/12</f>
        <v>#DIV/0!</v>
      </c>
      <c r="K34" s="4" t="e">
        <f>Table6[[#This Row],[Moment w zwarciu 12V '[Nm/A']]]*Table6[[#This Row],[Napięcie (Dane RPM)]]/12</f>
        <v>#DIV/0!</v>
      </c>
      <c r="L34" s="5" t="e">
        <f>Table6[[#This Row],[Moment w zwarciu 12V '[Nm/A']]]*Table6[[#This Row],[Napięcie (Dane RPM)]]/12/Table6[[#This Row],[Waga]]</f>
        <v>#DIV/0!</v>
      </c>
      <c r="M34" s="3">
        <f>Table6[[#This Row],[RPM 24V]]*$S$3/24</f>
        <v>0</v>
      </c>
      <c r="N34" s="4" t="e">
        <f>Table6[[#This Row],[Prąd w zwarciu 12V '[A']]]*$S$3/12</f>
        <v>#DIV/0!</v>
      </c>
      <c r="O34" s="7" t="e">
        <f>Table6[[#This Row],[Moment w zwarciu 12V '[Nm/A']]]*$S$3/12</f>
        <v>#DIV/0!</v>
      </c>
      <c r="P34" s="5" t="e">
        <f>Table6[[#This Row],[Moment w zwarciu 12V '[Nm/A']]]*$S$3/12/Table6[[#This Row],[Waga]]</f>
        <v>#DIV/0!</v>
      </c>
    </row>
    <row r="35" spans="6:16" ht="18" customHeight="1" x14ac:dyDescent="0.25">
      <c r="F35" s="3" t="e">
        <f>(12-Table6[[#This Row],[Prąd 24V '[mA']]]/10000*Table6[[#This Row],[Opór uzwojeń '[U/1A']]])/(Table6[[#This Row],[RPM 24V]]*PI()/30)*1000</f>
        <v>#DIV/0!</v>
      </c>
      <c r="G35" s="4" t="e">
        <f>12/Table6[[#This Row],[Opór uzwojeń '[U/1A']]]</f>
        <v>#DIV/0!</v>
      </c>
      <c r="H35" s="5" t="e">
        <f>Table6[[#This Row],[Stała momentu '[Nm/mA']]]*(Table6[[#This Row],[Prąd w zwarciu 12V '[A']]]-Table6[[#This Row],[Prąd 24V '[mA']]]/1000)</f>
        <v>#DIV/0!</v>
      </c>
      <c r="I35" s="3" t="e">
        <f>$S$2*24/Table6[[#This Row],[RPM 24V]]</f>
        <v>#DIV/0!</v>
      </c>
      <c r="J35" s="4" t="e">
        <f>Table6[[#This Row],[Prąd w zwarciu 12V '[A']]]*Table6[[#This Row],[Napięcie (Dane RPM)]]/12</f>
        <v>#DIV/0!</v>
      </c>
      <c r="K35" s="4" t="e">
        <f>Table6[[#This Row],[Moment w zwarciu 12V '[Nm/A']]]*Table6[[#This Row],[Napięcie (Dane RPM)]]/12</f>
        <v>#DIV/0!</v>
      </c>
      <c r="L35" s="5" t="e">
        <f>Table6[[#This Row],[Moment w zwarciu 12V '[Nm/A']]]*Table6[[#This Row],[Napięcie (Dane RPM)]]/12/Table6[[#This Row],[Waga]]</f>
        <v>#DIV/0!</v>
      </c>
      <c r="M35" s="3">
        <f>Table6[[#This Row],[RPM 24V]]*$S$3/24</f>
        <v>0</v>
      </c>
      <c r="N35" s="4" t="e">
        <f>Table6[[#This Row],[Prąd w zwarciu 12V '[A']]]*$S$3/12</f>
        <v>#DIV/0!</v>
      </c>
      <c r="O35" s="7" t="e">
        <f>Table6[[#This Row],[Moment w zwarciu 12V '[Nm/A']]]*$S$3/12</f>
        <v>#DIV/0!</v>
      </c>
      <c r="P35" s="5" t="e">
        <f>Table6[[#This Row],[Moment w zwarciu 12V '[Nm/A']]]*$S$3/12/Table6[[#This Row],[Waga]]</f>
        <v>#DIV/0!</v>
      </c>
    </row>
    <row r="36" spans="6:16" ht="18" customHeight="1" x14ac:dyDescent="0.25">
      <c r="F36" s="3" t="e">
        <f>(12-Table6[[#This Row],[Prąd 24V '[mA']]]/10000*Table6[[#This Row],[Opór uzwojeń '[U/1A']]])/(Table6[[#This Row],[RPM 24V]]*PI()/30)*1000</f>
        <v>#DIV/0!</v>
      </c>
      <c r="G36" s="4" t="e">
        <f>12/Table6[[#This Row],[Opór uzwojeń '[U/1A']]]</f>
        <v>#DIV/0!</v>
      </c>
      <c r="H36" s="5" t="e">
        <f>Table6[[#This Row],[Stała momentu '[Nm/mA']]]*(Table6[[#This Row],[Prąd w zwarciu 12V '[A']]]-Table6[[#This Row],[Prąd 24V '[mA']]]/1000)</f>
        <v>#DIV/0!</v>
      </c>
      <c r="I36" s="3" t="e">
        <f>$S$2*24/Table6[[#This Row],[RPM 24V]]</f>
        <v>#DIV/0!</v>
      </c>
      <c r="J36" s="4" t="e">
        <f>Table6[[#This Row],[Prąd w zwarciu 12V '[A']]]*Table6[[#This Row],[Napięcie (Dane RPM)]]/12</f>
        <v>#DIV/0!</v>
      </c>
      <c r="K36" s="4" t="e">
        <f>Table6[[#This Row],[Moment w zwarciu 12V '[Nm/A']]]*Table6[[#This Row],[Napięcie (Dane RPM)]]/12</f>
        <v>#DIV/0!</v>
      </c>
      <c r="L36" s="5" t="e">
        <f>Table6[[#This Row],[Moment w zwarciu 12V '[Nm/A']]]*Table6[[#This Row],[Napięcie (Dane RPM)]]/12/Table6[[#This Row],[Waga]]</f>
        <v>#DIV/0!</v>
      </c>
      <c r="M36" s="3">
        <f>Table6[[#This Row],[RPM 24V]]*$S$3/24</f>
        <v>0</v>
      </c>
      <c r="N36" s="4" t="e">
        <f>Table6[[#This Row],[Prąd w zwarciu 12V '[A']]]*$S$3/12</f>
        <v>#DIV/0!</v>
      </c>
      <c r="O36" s="7" t="e">
        <f>Table6[[#This Row],[Moment w zwarciu 12V '[Nm/A']]]*$S$3/12</f>
        <v>#DIV/0!</v>
      </c>
      <c r="P36" s="5" t="e">
        <f>Table6[[#This Row],[Moment w zwarciu 12V '[Nm/A']]]*$S$3/12/Table6[[#This Row],[Waga]]</f>
        <v>#DIV/0!</v>
      </c>
    </row>
    <row r="37" spans="6:16" ht="18" customHeight="1" x14ac:dyDescent="0.25">
      <c r="F37" s="3" t="e">
        <f>(12-Table6[[#This Row],[Prąd 24V '[mA']]]/10000*Table6[[#This Row],[Opór uzwojeń '[U/1A']]])/(Table6[[#This Row],[RPM 24V]]*PI()/30)*1000</f>
        <v>#DIV/0!</v>
      </c>
      <c r="G37" s="4" t="e">
        <f>12/Table6[[#This Row],[Opór uzwojeń '[U/1A']]]</f>
        <v>#DIV/0!</v>
      </c>
      <c r="H37" s="5" t="e">
        <f>Table6[[#This Row],[Stała momentu '[Nm/mA']]]*(Table6[[#This Row],[Prąd w zwarciu 12V '[A']]]-Table6[[#This Row],[Prąd 24V '[mA']]]/1000)</f>
        <v>#DIV/0!</v>
      </c>
      <c r="I37" s="3" t="e">
        <f>$S$2*24/Table6[[#This Row],[RPM 24V]]</f>
        <v>#DIV/0!</v>
      </c>
      <c r="J37" s="4" t="e">
        <f>Table6[[#This Row],[Prąd w zwarciu 12V '[A']]]*Table6[[#This Row],[Napięcie (Dane RPM)]]/12</f>
        <v>#DIV/0!</v>
      </c>
      <c r="K37" s="4" t="e">
        <f>Table6[[#This Row],[Moment w zwarciu 12V '[Nm/A']]]*Table6[[#This Row],[Napięcie (Dane RPM)]]/12</f>
        <v>#DIV/0!</v>
      </c>
      <c r="L37" s="5" t="e">
        <f>Table6[[#This Row],[Moment w zwarciu 12V '[Nm/A']]]*Table6[[#This Row],[Napięcie (Dane RPM)]]/12/Table6[[#This Row],[Waga]]</f>
        <v>#DIV/0!</v>
      </c>
      <c r="M37" s="3">
        <f>Table6[[#This Row],[RPM 24V]]*$S$3/24</f>
        <v>0</v>
      </c>
      <c r="N37" s="4" t="e">
        <f>Table6[[#This Row],[Prąd w zwarciu 12V '[A']]]*$S$3/12</f>
        <v>#DIV/0!</v>
      </c>
      <c r="O37" s="7" t="e">
        <f>Table6[[#This Row],[Moment w zwarciu 12V '[Nm/A']]]*$S$3/12</f>
        <v>#DIV/0!</v>
      </c>
      <c r="P37" s="5" t="e">
        <f>Table6[[#This Row],[Moment w zwarciu 12V '[Nm/A']]]*$S$3/12/Table6[[#This Row],[Waga]]</f>
        <v>#DIV/0!</v>
      </c>
    </row>
    <row r="38" spans="6:16" ht="18" customHeight="1" x14ac:dyDescent="0.25">
      <c r="F38" s="3" t="e">
        <f>(12-Table6[[#This Row],[Prąd 24V '[mA']]]/10000*Table6[[#This Row],[Opór uzwojeń '[U/1A']]])/(Table6[[#This Row],[RPM 24V]]*PI()/30)*1000</f>
        <v>#DIV/0!</v>
      </c>
      <c r="G38" s="4" t="e">
        <f>12/Table6[[#This Row],[Opór uzwojeń '[U/1A']]]</f>
        <v>#DIV/0!</v>
      </c>
      <c r="H38" s="5" t="e">
        <f>Table6[[#This Row],[Stała momentu '[Nm/mA']]]*(Table6[[#This Row],[Prąd w zwarciu 12V '[A']]]-Table6[[#This Row],[Prąd 24V '[mA']]]/1000)</f>
        <v>#DIV/0!</v>
      </c>
      <c r="I38" s="3" t="e">
        <f>$S$2*24/Table6[[#This Row],[RPM 24V]]</f>
        <v>#DIV/0!</v>
      </c>
      <c r="J38" s="4" t="e">
        <f>Table6[[#This Row],[Prąd w zwarciu 12V '[A']]]*Table6[[#This Row],[Napięcie (Dane RPM)]]/12</f>
        <v>#DIV/0!</v>
      </c>
      <c r="K38" s="4" t="e">
        <f>Table6[[#This Row],[Moment w zwarciu 12V '[Nm/A']]]*Table6[[#This Row],[Napięcie (Dane RPM)]]/12</f>
        <v>#DIV/0!</v>
      </c>
      <c r="L38" s="5" t="e">
        <f>Table6[[#This Row],[Moment w zwarciu 12V '[Nm/A']]]*Table6[[#This Row],[Napięcie (Dane RPM)]]/12/Table6[[#This Row],[Waga]]</f>
        <v>#DIV/0!</v>
      </c>
      <c r="M38" s="3">
        <f>Table6[[#This Row],[RPM 24V]]*$S$3/24</f>
        <v>0</v>
      </c>
      <c r="N38" s="4" t="e">
        <f>Table6[[#This Row],[Prąd w zwarciu 12V '[A']]]*$S$3/12</f>
        <v>#DIV/0!</v>
      </c>
      <c r="O38" s="7" t="e">
        <f>Table6[[#This Row],[Moment w zwarciu 12V '[Nm/A']]]*$S$3/12</f>
        <v>#DIV/0!</v>
      </c>
      <c r="P38" s="5" t="e">
        <f>Table6[[#This Row],[Moment w zwarciu 12V '[Nm/A']]]*$S$3/12/Table6[[#This Row],[Waga]]</f>
        <v>#DIV/0!</v>
      </c>
    </row>
    <row r="39" spans="6:16" ht="18" customHeight="1" x14ac:dyDescent="0.25">
      <c r="F39" s="3" t="e">
        <f>(12-Table6[[#This Row],[Prąd 24V '[mA']]]/10000*Table6[[#This Row],[Opór uzwojeń '[U/1A']]])/(Table6[[#This Row],[RPM 24V]]*PI()/30)*1000</f>
        <v>#DIV/0!</v>
      </c>
      <c r="G39" s="4" t="e">
        <f>12/Table6[[#This Row],[Opór uzwojeń '[U/1A']]]</f>
        <v>#DIV/0!</v>
      </c>
      <c r="H39" s="5" t="e">
        <f>Table6[[#This Row],[Stała momentu '[Nm/mA']]]*(Table6[[#This Row],[Prąd w zwarciu 12V '[A']]]-Table6[[#This Row],[Prąd 24V '[mA']]]/1000)</f>
        <v>#DIV/0!</v>
      </c>
      <c r="I39" s="3" t="e">
        <f>$S$2*24/Table6[[#This Row],[RPM 24V]]</f>
        <v>#DIV/0!</v>
      </c>
      <c r="J39" s="4" t="e">
        <f>Table6[[#This Row],[Prąd w zwarciu 12V '[A']]]*Table6[[#This Row],[Napięcie (Dane RPM)]]/12</f>
        <v>#DIV/0!</v>
      </c>
      <c r="K39" s="4" t="e">
        <f>Table6[[#This Row],[Moment w zwarciu 12V '[Nm/A']]]*Table6[[#This Row],[Napięcie (Dane RPM)]]/12</f>
        <v>#DIV/0!</v>
      </c>
      <c r="L39" s="5" t="e">
        <f>Table6[[#This Row],[Moment w zwarciu 12V '[Nm/A']]]*Table6[[#This Row],[Napięcie (Dane RPM)]]/12/Table6[[#This Row],[Waga]]</f>
        <v>#DIV/0!</v>
      </c>
      <c r="M39" s="3">
        <f>Table6[[#This Row],[RPM 24V]]*$S$3/24</f>
        <v>0</v>
      </c>
      <c r="N39" s="4" t="e">
        <f>Table6[[#This Row],[Prąd w zwarciu 12V '[A']]]*$S$3/12</f>
        <v>#DIV/0!</v>
      </c>
      <c r="O39" s="7" t="e">
        <f>Table6[[#This Row],[Moment w zwarciu 12V '[Nm/A']]]*$S$3/12</f>
        <v>#DIV/0!</v>
      </c>
      <c r="P39" s="5" t="e">
        <f>Table6[[#This Row],[Moment w zwarciu 12V '[Nm/A']]]*$S$3/12/Table6[[#This Row],[Waga]]</f>
        <v>#DIV/0!</v>
      </c>
    </row>
    <row r="40" spans="6:16" ht="18" customHeight="1" x14ac:dyDescent="0.25">
      <c r="F40" s="3" t="e">
        <f>(12-Table6[[#This Row],[Prąd 24V '[mA']]]/10000*Table6[[#This Row],[Opór uzwojeń '[U/1A']]])/(Table6[[#This Row],[RPM 24V]]*PI()/30)*1000</f>
        <v>#DIV/0!</v>
      </c>
      <c r="G40" s="4" t="e">
        <f>12/Table6[[#This Row],[Opór uzwojeń '[U/1A']]]</f>
        <v>#DIV/0!</v>
      </c>
      <c r="H40" s="5" t="e">
        <f>Table6[[#This Row],[Stała momentu '[Nm/mA']]]*(Table6[[#This Row],[Prąd w zwarciu 12V '[A']]]-Table6[[#This Row],[Prąd 24V '[mA']]]/1000)</f>
        <v>#DIV/0!</v>
      </c>
      <c r="I40" s="3" t="e">
        <f>$S$2*24/Table6[[#This Row],[RPM 24V]]</f>
        <v>#DIV/0!</v>
      </c>
      <c r="J40" s="4" t="e">
        <f>Table6[[#This Row],[Prąd w zwarciu 12V '[A']]]*Table6[[#This Row],[Napięcie (Dane RPM)]]/12</f>
        <v>#DIV/0!</v>
      </c>
      <c r="K40" s="4" t="e">
        <f>Table6[[#This Row],[Moment w zwarciu 12V '[Nm/A']]]*Table6[[#This Row],[Napięcie (Dane RPM)]]/12</f>
        <v>#DIV/0!</v>
      </c>
      <c r="L40" s="5" t="e">
        <f>Table6[[#This Row],[Moment w zwarciu 12V '[Nm/A']]]*Table6[[#This Row],[Napięcie (Dane RPM)]]/12/Table6[[#This Row],[Waga]]</f>
        <v>#DIV/0!</v>
      </c>
      <c r="M40" s="3">
        <f>Table6[[#This Row],[RPM 24V]]*$S$3/24</f>
        <v>0</v>
      </c>
      <c r="N40" s="4" t="e">
        <f>Table6[[#This Row],[Prąd w zwarciu 12V '[A']]]*$S$3/12</f>
        <v>#DIV/0!</v>
      </c>
      <c r="O40" s="7" t="e">
        <f>Table6[[#This Row],[Moment w zwarciu 12V '[Nm/A']]]*$S$3/12</f>
        <v>#DIV/0!</v>
      </c>
      <c r="P40" s="5" t="e">
        <f>Table6[[#This Row],[Moment w zwarciu 12V '[Nm/A']]]*$S$3/12/Table6[[#This Row],[Waga]]</f>
        <v>#DIV/0!</v>
      </c>
    </row>
    <row r="41" spans="6:16" ht="18" customHeight="1" x14ac:dyDescent="0.25">
      <c r="F41" s="3" t="e">
        <f>(12-Table6[[#This Row],[Prąd 24V '[mA']]]/10000*Table6[[#This Row],[Opór uzwojeń '[U/1A']]])/(Table6[[#This Row],[RPM 24V]]*PI()/30)*1000</f>
        <v>#DIV/0!</v>
      </c>
      <c r="G41" s="4" t="e">
        <f>12/Table6[[#This Row],[Opór uzwojeń '[U/1A']]]</f>
        <v>#DIV/0!</v>
      </c>
      <c r="H41" s="5" t="e">
        <f>Table6[[#This Row],[Stała momentu '[Nm/mA']]]*(Table6[[#This Row],[Prąd w zwarciu 12V '[A']]]-Table6[[#This Row],[Prąd 24V '[mA']]]/1000)</f>
        <v>#DIV/0!</v>
      </c>
      <c r="I41" s="3" t="e">
        <f>$S$2*24/Table6[[#This Row],[RPM 24V]]</f>
        <v>#DIV/0!</v>
      </c>
      <c r="J41" s="4" t="e">
        <f>Table6[[#This Row],[Prąd w zwarciu 12V '[A']]]*Table6[[#This Row],[Napięcie (Dane RPM)]]/12</f>
        <v>#DIV/0!</v>
      </c>
      <c r="K41" s="4" t="e">
        <f>Table6[[#This Row],[Moment w zwarciu 12V '[Nm/A']]]*Table6[[#This Row],[Napięcie (Dane RPM)]]/12</f>
        <v>#DIV/0!</v>
      </c>
      <c r="L41" s="5" t="e">
        <f>Table6[[#This Row],[Moment w zwarciu 12V '[Nm/A']]]*Table6[[#This Row],[Napięcie (Dane RPM)]]/12/Table6[[#This Row],[Waga]]</f>
        <v>#DIV/0!</v>
      </c>
      <c r="M41" s="3">
        <f>Table6[[#This Row],[RPM 24V]]*$S$3/24</f>
        <v>0</v>
      </c>
      <c r="N41" s="4" t="e">
        <f>Table6[[#This Row],[Prąd w zwarciu 12V '[A']]]*$S$3/12</f>
        <v>#DIV/0!</v>
      </c>
      <c r="O41" s="7" t="e">
        <f>Table6[[#This Row],[Moment w zwarciu 12V '[Nm/A']]]*$S$3/12</f>
        <v>#DIV/0!</v>
      </c>
      <c r="P41" s="5" t="e">
        <f>Table6[[#This Row],[Moment w zwarciu 12V '[Nm/A']]]*$S$3/12/Table6[[#This Row],[Waga]]</f>
        <v>#DIV/0!</v>
      </c>
    </row>
    <row r="42" spans="6:16" ht="18" customHeight="1" x14ac:dyDescent="0.25">
      <c r="F42" s="3" t="e">
        <f>(12-Table6[[#This Row],[Prąd 24V '[mA']]]/10000*Table6[[#This Row],[Opór uzwojeń '[U/1A']]])/(Table6[[#This Row],[RPM 24V]]*PI()/30)*1000</f>
        <v>#DIV/0!</v>
      </c>
      <c r="G42" s="4" t="e">
        <f>12/Table6[[#This Row],[Opór uzwojeń '[U/1A']]]</f>
        <v>#DIV/0!</v>
      </c>
      <c r="H42" s="5" t="e">
        <f>Table6[[#This Row],[Stała momentu '[Nm/mA']]]*(Table6[[#This Row],[Prąd w zwarciu 12V '[A']]]-Table6[[#This Row],[Prąd 24V '[mA']]]/1000)</f>
        <v>#DIV/0!</v>
      </c>
      <c r="I42" s="3" t="e">
        <f>$S$2*24/Table6[[#This Row],[RPM 24V]]</f>
        <v>#DIV/0!</v>
      </c>
      <c r="J42" s="4" t="e">
        <f>Table6[[#This Row],[Prąd w zwarciu 12V '[A']]]*Table6[[#This Row],[Napięcie (Dane RPM)]]/12</f>
        <v>#DIV/0!</v>
      </c>
      <c r="K42" s="4" t="e">
        <f>Table6[[#This Row],[Moment w zwarciu 12V '[Nm/A']]]*Table6[[#This Row],[Napięcie (Dane RPM)]]/12</f>
        <v>#DIV/0!</v>
      </c>
      <c r="L42" s="5" t="e">
        <f>Table6[[#This Row],[Moment w zwarciu 12V '[Nm/A']]]*Table6[[#This Row],[Napięcie (Dane RPM)]]/12/Table6[[#This Row],[Waga]]</f>
        <v>#DIV/0!</v>
      </c>
      <c r="M42" s="3">
        <f>Table6[[#This Row],[RPM 24V]]*$S$3/24</f>
        <v>0</v>
      </c>
      <c r="N42" s="4" t="e">
        <f>Table6[[#This Row],[Prąd w zwarciu 12V '[A']]]*$S$3/12</f>
        <v>#DIV/0!</v>
      </c>
      <c r="O42" s="7" t="e">
        <f>Table6[[#This Row],[Moment w zwarciu 12V '[Nm/A']]]*$S$3/12</f>
        <v>#DIV/0!</v>
      </c>
      <c r="P42" s="5" t="e">
        <f>Table6[[#This Row],[Moment w zwarciu 12V '[Nm/A']]]*$S$3/12/Table6[[#This Row],[Waga]]</f>
        <v>#DIV/0!</v>
      </c>
    </row>
    <row r="43" spans="6:16" ht="18" customHeight="1" x14ac:dyDescent="0.25">
      <c r="F43" s="3" t="e">
        <f>(12-Table6[[#This Row],[Prąd 24V '[mA']]]/10000*Table6[[#This Row],[Opór uzwojeń '[U/1A']]])/(Table6[[#This Row],[RPM 24V]]*PI()/30)*1000</f>
        <v>#DIV/0!</v>
      </c>
      <c r="G43" s="4" t="e">
        <f>12/Table6[[#This Row],[Opór uzwojeń '[U/1A']]]</f>
        <v>#DIV/0!</v>
      </c>
      <c r="H43" s="5" t="e">
        <f>Table6[[#This Row],[Stała momentu '[Nm/mA']]]*(Table6[[#This Row],[Prąd w zwarciu 12V '[A']]]-Table6[[#This Row],[Prąd 24V '[mA']]]/1000)</f>
        <v>#DIV/0!</v>
      </c>
      <c r="I43" s="3" t="e">
        <f>$S$2*24/Table6[[#This Row],[RPM 24V]]</f>
        <v>#DIV/0!</v>
      </c>
      <c r="J43" s="4" t="e">
        <f>Table6[[#This Row],[Prąd w zwarciu 12V '[A']]]*Table6[[#This Row],[Napięcie (Dane RPM)]]/12</f>
        <v>#DIV/0!</v>
      </c>
      <c r="K43" s="4" t="e">
        <f>Table6[[#This Row],[Moment w zwarciu 12V '[Nm/A']]]*Table6[[#This Row],[Napięcie (Dane RPM)]]/12</f>
        <v>#DIV/0!</v>
      </c>
      <c r="L43" s="5" t="e">
        <f>Table6[[#This Row],[Moment w zwarciu 12V '[Nm/A']]]*Table6[[#This Row],[Napięcie (Dane RPM)]]/12/Table6[[#This Row],[Waga]]</f>
        <v>#DIV/0!</v>
      </c>
      <c r="M43" s="3">
        <f>Table6[[#This Row],[RPM 24V]]*$S$3/24</f>
        <v>0</v>
      </c>
      <c r="N43" s="4" t="e">
        <f>Table6[[#This Row],[Prąd w zwarciu 12V '[A']]]*$S$3/12</f>
        <v>#DIV/0!</v>
      </c>
      <c r="O43" s="7" t="e">
        <f>Table6[[#This Row],[Moment w zwarciu 12V '[Nm/A']]]*$S$3/12</f>
        <v>#DIV/0!</v>
      </c>
      <c r="P43" s="5" t="e">
        <f>Table6[[#This Row],[Moment w zwarciu 12V '[Nm/A']]]*$S$3/12/Table6[[#This Row],[Waga]]</f>
        <v>#DIV/0!</v>
      </c>
    </row>
    <row r="44" spans="6:16" ht="18" customHeight="1" x14ac:dyDescent="0.25">
      <c r="F44" s="3" t="e">
        <f>(12-Table6[[#This Row],[Prąd 24V '[mA']]]/10000*Table6[[#This Row],[Opór uzwojeń '[U/1A']]])/(Table6[[#This Row],[RPM 24V]]*PI()/30)*1000</f>
        <v>#DIV/0!</v>
      </c>
      <c r="G44" s="4" t="e">
        <f>12/Table6[[#This Row],[Opór uzwojeń '[U/1A']]]</f>
        <v>#DIV/0!</v>
      </c>
      <c r="H44" s="5" t="e">
        <f>Table6[[#This Row],[Stała momentu '[Nm/mA']]]*(Table6[[#This Row],[Prąd w zwarciu 12V '[A']]]-Table6[[#This Row],[Prąd 24V '[mA']]]/1000)</f>
        <v>#DIV/0!</v>
      </c>
      <c r="I44" s="3" t="e">
        <f>$S$2*24/Table6[[#This Row],[RPM 24V]]</f>
        <v>#DIV/0!</v>
      </c>
      <c r="J44" s="4" t="e">
        <f>Table6[[#This Row],[Prąd w zwarciu 12V '[A']]]*Table6[[#This Row],[Napięcie (Dane RPM)]]/12</f>
        <v>#DIV/0!</v>
      </c>
      <c r="K44" s="4" t="e">
        <f>Table6[[#This Row],[Moment w zwarciu 12V '[Nm/A']]]*Table6[[#This Row],[Napięcie (Dane RPM)]]/12</f>
        <v>#DIV/0!</v>
      </c>
      <c r="L44" s="5" t="e">
        <f>Table6[[#This Row],[Moment w zwarciu 12V '[Nm/A']]]*Table6[[#This Row],[Napięcie (Dane RPM)]]/12/Table6[[#This Row],[Waga]]</f>
        <v>#DIV/0!</v>
      </c>
      <c r="M44" s="3">
        <f>Table6[[#This Row],[RPM 24V]]*$S$3/24</f>
        <v>0</v>
      </c>
      <c r="N44" s="4" t="e">
        <f>Table6[[#This Row],[Prąd w zwarciu 12V '[A']]]*$S$3/12</f>
        <v>#DIV/0!</v>
      </c>
      <c r="O44" s="7" t="e">
        <f>Table6[[#This Row],[Moment w zwarciu 12V '[Nm/A']]]*$S$3/12</f>
        <v>#DIV/0!</v>
      </c>
      <c r="P44" s="5" t="e">
        <f>Table6[[#This Row],[Moment w zwarciu 12V '[Nm/A']]]*$S$3/12/Table6[[#This Row],[Waga]]</f>
        <v>#DIV/0!</v>
      </c>
    </row>
    <row r="45" spans="6:16" ht="18" customHeight="1" x14ac:dyDescent="0.25">
      <c r="F45" s="3" t="e">
        <f>(12-Table6[[#This Row],[Prąd 24V '[mA']]]/10000*Table6[[#This Row],[Opór uzwojeń '[U/1A']]])/(Table6[[#This Row],[RPM 24V]]*PI()/30)*1000</f>
        <v>#DIV/0!</v>
      </c>
      <c r="G45" s="4" t="e">
        <f>12/Table6[[#This Row],[Opór uzwojeń '[U/1A']]]</f>
        <v>#DIV/0!</v>
      </c>
      <c r="H45" s="5" t="e">
        <f>Table6[[#This Row],[Stała momentu '[Nm/mA']]]*(Table6[[#This Row],[Prąd w zwarciu 12V '[A']]]-Table6[[#This Row],[Prąd 24V '[mA']]]/1000)</f>
        <v>#DIV/0!</v>
      </c>
      <c r="I45" s="3" t="e">
        <f>$S$2*24/Table6[[#This Row],[RPM 24V]]</f>
        <v>#DIV/0!</v>
      </c>
      <c r="J45" s="4" t="e">
        <f>Table6[[#This Row],[Prąd w zwarciu 12V '[A']]]*Table6[[#This Row],[Napięcie (Dane RPM)]]/12</f>
        <v>#DIV/0!</v>
      </c>
      <c r="K45" s="4" t="e">
        <f>Table6[[#This Row],[Moment w zwarciu 12V '[Nm/A']]]*Table6[[#This Row],[Napięcie (Dane RPM)]]/12</f>
        <v>#DIV/0!</v>
      </c>
      <c r="L45" s="5" t="e">
        <f>Table6[[#This Row],[Moment w zwarciu 12V '[Nm/A']]]*Table6[[#This Row],[Napięcie (Dane RPM)]]/12/Table6[[#This Row],[Waga]]</f>
        <v>#DIV/0!</v>
      </c>
      <c r="M45" s="3">
        <f>Table6[[#This Row],[RPM 24V]]*$S$3/24</f>
        <v>0</v>
      </c>
      <c r="N45" s="4" t="e">
        <f>Table6[[#This Row],[Prąd w zwarciu 12V '[A']]]*$S$3/12</f>
        <v>#DIV/0!</v>
      </c>
      <c r="O45" s="7" t="e">
        <f>Table6[[#This Row],[Moment w zwarciu 12V '[Nm/A']]]*$S$3/12</f>
        <v>#DIV/0!</v>
      </c>
      <c r="P45" s="5" t="e">
        <f>Table6[[#This Row],[Moment w zwarciu 12V '[Nm/A']]]*$S$3/12/Table6[[#This Row],[Waga]]</f>
        <v>#DIV/0!</v>
      </c>
    </row>
    <row r="46" spans="6:16" ht="18" customHeight="1" x14ac:dyDescent="0.25">
      <c r="F46" s="3" t="e">
        <f>(12-Table6[[#This Row],[Prąd 24V '[mA']]]/10000*Table6[[#This Row],[Opór uzwojeń '[U/1A']]])/(Table6[[#This Row],[RPM 24V]]*PI()/30)*1000</f>
        <v>#DIV/0!</v>
      </c>
      <c r="G46" s="4" t="e">
        <f>12/Table6[[#This Row],[Opór uzwojeń '[U/1A']]]</f>
        <v>#DIV/0!</v>
      </c>
      <c r="H46" s="5" t="e">
        <f>Table6[[#This Row],[Stała momentu '[Nm/mA']]]*(Table6[[#This Row],[Prąd w zwarciu 12V '[A']]]-Table6[[#This Row],[Prąd 24V '[mA']]]/1000)</f>
        <v>#DIV/0!</v>
      </c>
      <c r="I46" s="3" t="e">
        <f>$S$2*24/Table6[[#This Row],[RPM 24V]]</f>
        <v>#DIV/0!</v>
      </c>
      <c r="J46" s="4" t="e">
        <f>Table6[[#This Row],[Prąd w zwarciu 12V '[A']]]*Table6[[#This Row],[Napięcie (Dane RPM)]]/12</f>
        <v>#DIV/0!</v>
      </c>
      <c r="K46" s="4" t="e">
        <f>Table6[[#This Row],[Moment w zwarciu 12V '[Nm/A']]]*Table6[[#This Row],[Napięcie (Dane RPM)]]/12</f>
        <v>#DIV/0!</v>
      </c>
      <c r="L46" s="5" t="e">
        <f>Table6[[#This Row],[Moment w zwarciu 12V '[Nm/A']]]*Table6[[#This Row],[Napięcie (Dane RPM)]]/12/Table6[[#This Row],[Waga]]</f>
        <v>#DIV/0!</v>
      </c>
      <c r="M46" s="3">
        <f>Table6[[#This Row],[RPM 24V]]*$S$3/24</f>
        <v>0</v>
      </c>
      <c r="N46" s="4" t="e">
        <f>Table6[[#This Row],[Prąd w zwarciu 12V '[A']]]*$S$3/12</f>
        <v>#DIV/0!</v>
      </c>
      <c r="O46" s="7" t="e">
        <f>Table6[[#This Row],[Moment w zwarciu 12V '[Nm/A']]]*$S$3/12</f>
        <v>#DIV/0!</v>
      </c>
      <c r="P46" s="5" t="e">
        <f>Table6[[#This Row],[Moment w zwarciu 12V '[Nm/A']]]*$S$3/12/Table6[[#This Row],[Waga]]</f>
        <v>#DIV/0!</v>
      </c>
    </row>
    <row r="47" spans="6:16" ht="18" customHeight="1" x14ac:dyDescent="0.25">
      <c r="F47" s="3" t="e">
        <f>(12-Table6[[#This Row],[Prąd 24V '[mA']]]/10000*Table6[[#This Row],[Opór uzwojeń '[U/1A']]])/(Table6[[#This Row],[RPM 24V]]*PI()/30)*1000</f>
        <v>#DIV/0!</v>
      </c>
      <c r="G47" s="4" t="e">
        <f>12/Table6[[#This Row],[Opór uzwojeń '[U/1A']]]</f>
        <v>#DIV/0!</v>
      </c>
      <c r="H47" s="5" t="e">
        <f>Table6[[#This Row],[Stała momentu '[Nm/mA']]]*(Table6[[#This Row],[Prąd w zwarciu 12V '[A']]]-Table6[[#This Row],[Prąd 24V '[mA']]]/1000)</f>
        <v>#DIV/0!</v>
      </c>
      <c r="I47" s="3" t="e">
        <f>$S$2*24/Table6[[#This Row],[RPM 24V]]</f>
        <v>#DIV/0!</v>
      </c>
      <c r="J47" s="4" t="e">
        <f>Table6[[#This Row],[Prąd w zwarciu 12V '[A']]]*Table6[[#This Row],[Napięcie (Dane RPM)]]/12</f>
        <v>#DIV/0!</v>
      </c>
      <c r="K47" s="4" t="e">
        <f>Table6[[#This Row],[Moment w zwarciu 12V '[Nm/A']]]*Table6[[#This Row],[Napięcie (Dane RPM)]]/12</f>
        <v>#DIV/0!</v>
      </c>
      <c r="L47" s="5" t="e">
        <f>Table6[[#This Row],[Moment w zwarciu 12V '[Nm/A']]]*Table6[[#This Row],[Napięcie (Dane RPM)]]/12/Table6[[#This Row],[Waga]]</f>
        <v>#DIV/0!</v>
      </c>
      <c r="M47" s="3">
        <f>Table6[[#This Row],[RPM 24V]]*$S$3/24</f>
        <v>0</v>
      </c>
      <c r="N47" s="4" t="e">
        <f>Table6[[#This Row],[Prąd w zwarciu 12V '[A']]]*$S$3/12</f>
        <v>#DIV/0!</v>
      </c>
      <c r="O47" s="7" t="e">
        <f>Table6[[#This Row],[Moment w zwarciu 12V '[Nm/A']]]*$S$3/12</f>
        <v>#DIV/0!</v>
      </c>
      <c r="P47" s="5" t="e">
        <f>Table6[[#This Row],[Moment w zwarciu 12V '[Nm/A']]]*$S$3/12/Table6[[#This Row],[Waga]]</f>
        <v>#DIV/0!</v>
      </c>
    </row>
    <row r="48" spans="6:16" ht="18" customHeight="1" x14ac:dyDescent="0.25">
      <c r="F48" s="3" t="e">
        <f>(12-Table6[[#This Row],[Prąd 24V '[mA']]]/10000*Table6[[#This Row],[Opór uzwojeń '[U/1A']]])/(Table6[[#This Row],[RPM 24V]]*PI()/30)*1000</f>
        <v>#DIV/0!</v>
      </c>
      <c r="G48" s="4" t="e">
        <f>12/Table6[[#This Row],[Opór uzwojeń '[U/1A']]]</f>
        <v>#DIV/0!</v>
      </c>
      <c r="H48" s="5" t="e">
        <f>Table6[[#This Row],[Stała momentu '[Nm/mA']]]*(Table6[[#This Row],[Prąd w zwarciu 12V '[A']]]-Table6[[#This Row],[Prąd 24V '[mA']]]/1000)</f>
        <v>#DIV/0!</v>
      </c>
      <c r="I48" s="3" t="e">
        <f>$S$2*24/Table6[[#This Row],[RPM 24V]]</f>
        <v>#DIV/0!</v>
      </c>
      <c r="J48" s="4" t="e">
        <f>Table6[[#This Row],[Prąd w zwarciu 12V '[A']]]*Table6[[#This Row],[Napięcie (Dane RPM)]]/12</f>
        <v>#DIV/0!</v>
      </c>
      <c r="K48" s="4" t="e">
        <f>Table6[[#This Row],[Moment w zwarciu 12V '[Nm/A']]]*Table6[[#This Row],[Napięcie (Dane RPM)]]/12</f>
        <v>#DIV/0!</v>
      </c>
      <c r="L48" s="5" t="e">
        <f>Table6[[#This Row],[Moment w zwarciu 12V '[Nm/A']]]*Table6[[#This Row],[Napięcie (Dane RPM)]]/12/Table6[[#This Row],[Waga]]</f>
        <v>#DIV/0!</v>
      </c>
      <c r="M48" s="3">
        <f>Table6[[#This Row],[RPM 24V]]*$S$3/24</f>
        <v>0</v>
      </c>
      <c r="N48" s="4" t="e">
        <f>Table6[[#This Row],[Prąd w zwarciu 12V '[A']]]*$S$3/12</f>
        <v>#DIV/0!</v>
      </c>
      <c r="O48" s="7" t="e">
        <f>Table6[[#This Row],[Moment w zwarciu 12V '[Nm/A']]]*$S$3/12</f>
        <v>#DIV/0!</v>
      </c>
      <c r="P48" s="5" t="e">
        <f>Table6[[#This Row],[Moment w zwarciu 12V '[Nm/A']]]*$S$3/12/Table6[[#This Row],[Waga]]</f>
        <v>#DIV/0!</v>
      </c>
    </row>
    <row r="49" spans="6:16" ht="18" customHeight="1" x14ac:dyDescent="0.25">
      <c r="F49" s="3" t="e">
        <f>(12-Table6[[#This Row],[Prąd 24V '[mA']]]/10000*Table6[[#This Row],[Opór uzwojeń '[U/1A']]])/(Table6[[#This Row],[RPM 24V]]*PI()/30)*1000</f>
        <v>#DIV/0!</v>
      </c>
      <c r="G49" s="4" t="e">
        <f>12/Table6[[#This Row],[Opór uzwojeń '[U/1A']]]</f>
        <v>#DIV/0!</v>
      </c>
      <c r="H49" s="5" t="e">
        <f>Table6[[#This Row],[Stała momentu '[Nm/mA']]]*(Table6[[#This Row],[Prąd w zwarciu 12V '[A']]]-Table6[[#This Row],[Prąd 24V '[mA']]]/1000)</f>
        <v>#DIV/0!</v>
      </c>
      <c r="I49" s="3" t="e">
        <f>$S$2*24/Table6[[#This Row],[RPM 24V]]</f>
        <v>#DIV/0!</v>
      </c>
      <c r="J49" s="4" t="e">
        <f>Table6[[#This Row],[Prąd w zwarciu 12V '[A']]]*Table6[[#This Row],[Napięcie (Dane RPM)]]/12</f>
        <v>#DIV/0!</v>
      </c>
      <c r="K49" s="4" t="e">
        <f>Table6[[#This Row],[Moment w zwarciu 12V '[Nm/A']]]*Table6[[#This Row],[Napięcie (Dane RPM)]]/12</f>
        <v>#DIV/0!</v>
      </c>
      <c r="L49" s="5" t="e">
        <f>Table6[[#This Row],[Moment w zwarciu 12V '[Nm/A']]]*Table6[[#This Row],[Napięcie (Dane RPM)]]/12/Table6[[#This Row],[Waga]]</f>
        <v>#DIV/0!</v>
      </c>
      <c r="M49" s="3">
        <f>Table6[[#This Row],[RPM 24V]]*$S$3/24</f>
        <v>0</v>
      </c>
      <c r="N49" s="4" t="e">
        <f>Table6[[#This Row],[Prąd w zwarciu 12V '[A']]]*$S$3/12</f>
        <v>#DIV/0!</v>
      </c>
      <c r="O49" s="7" t="e">
        <f>Table6[[#This Row],[Moment w zwarciu 12V '[Nm/A']]]*$S$3/12</f>
        <v>#DIV/0!</v>
      </c>
      <c r="P49" s="5" t="e">
        <f>Table6[[#This Row],[Moment w zwarciu 12V '[Nm/A']]]*$S$3/12/Table6[[#This Row],[Waga]]</f>
        <v>#DIV/0!</v>
      </c>
    </row>
    <row r="50" spans="6:16" ht="18" customHeight="1" x14ac:dyDescent="0.25">
      <c r="F50" s="3" t="e">
        <f>(12-Table6[[#This Row],[Prąd 24V '[mA']]]/10000*Table6[[#This Row],[Opór uzwojeń '[U/1A']]])/(Table6[[#This Row],[RPM 24V]]*PI()/30)*1000</f>
        <v>#DIV/0!</v>
      </c>
      <c r="G50" s="4" t="e">
        <f>12/Table6[[#This Row],[Opór uzwojeń '[U/1A']]]</f>
        <v>#DIV/0!</v>
      </c>
      <c r="H50" s="5" t="e">
        <f>Table6[[#This Row],[Stała momentu '[Nm/mA']]]*(Table6[[#This Row],[Prąd w zwarciu 12V '[A']]]-Table6[[#This Row],[Prąd 24V '[mA']]]/1000)</f>
        <v>#DIV/0!</v>
      </c>
      <c r="I50" s="3" t="e">
        <f>$S$2*24/Table6[[#This Row],[RPM 24V]]</f>
        <v>#DIV/0!</v>
      </c>
      <c r="J50" s="4" t="e">
        <f>Table6[[#This Row],[Prąd w zwarciu 12V '[A']]]*Table6[[#This Row],[Napięcie (Dane RPM)]]/12</f>
        <v>#DIV/0!</v>
      </c>
      <c r="K50" s="4" t="e">
        <f>Table6[[#This Row],[Moment w zwarciu 12V '[Nm/A']]]*Table6[[#This Row],[Napięcie (Dane RPM)]]/12</f>
        <v>#DIV/0!</v>
      </c>
      <c r="L50" s="5" t="e">
        <f>Table6[[#This Row],[Moment w zwarciu 12V '[Nm/A']]]*Table6[[#This Row],[Napięcie (Dane RPM)]]/12/Table6[[#This Row],[Waga]]</f>
        <v>#DIV/0!</v>
      </c>
      <c r="M50" s="3">
        <f>Table6[[#This Row],[RPM 24V]]*$S$3/24</f>
        <v>0</v>
      </c>
      <c r="N50" s="4" t="e">
        <f>Table6[[#This Row],[Prąd w zwarciu 12V '[A']]]*$S$3/12</f>
        <v>#DIV/0!</v>
      </c>
      <c r="O50" s="7" t="e">
        <f>Table6[[#This Row],[Moment w zwarciu 12V '[Nm/A']]]*$S$3/12</f>
        <v>#DIV/0!</v>
      </c>
      <c r="P50" s="5" t="e">
        <f>Table6[[#This Row],[Moment w zwarciu 12V '[Nm/A']]]*$S$3/12/Table6[[#This Row],[Waga]]</f>
        <v>#DIV/0!</v>
      </c>
    </row>
    <row r="51" spans="6:16" ht="18" customHeight="1" x14ac:dyDescent="0.25">
      <c r="F51" s="3" t="e">
        <f>(12-Table6[[#This Row],[Prąd 24V '[mA']]]/10000*Table6[[#This Row],[Opór uzwojeń '[U/1A']]])/(Table6[[#This Row],[RPM 24V]]*PI()/30)*1000</f>
        <v>#DIV/0!</v>
      </c>
      <c r="G51" s="4" t="e">
        <f>12/Table6[[#This Row],[Opór uzwojeń '[U/1A']]]</f>
        <v>#DIV/0!</v>
      </c>
      <c r="H51" s="5" t="e">
        <f>Table6[[#This Row],[Stała momentu '[Nm/mA']]]*(Table6[[#This Row],[Prąd w zwarciu 12V '[A']]]-Table6[[#This Row],[Prąd 24V '[mA']]]/1000)</f>
        <v>#DIV/0!</v>
      </c>
      <c r="I51" s="3" t="e">
        <f>$S$2*24/Table6[[#This Row],[RPM 24V]]</f>
        <v>#DIV/0!</v>
      </c>
      <c r="J51" s="4" t="e">
        <f>Table6[[#This Row],[Prąd w zwarciu 12V '[A']]]*Table6[[#This Row],[Napięcie (Dane RPM)]]/12</f>
        <v>#DIV/0!</v>
      </c>
      <c r="K51" s="4" t="e">
        <f>Table6[[#This Row],[Moment w zwarciu 12V '[Nm/A']]]*Table6[[#This Row],[Napięcie (Dane RPM)]]/12</f>
        <v>#DIV/0!</v>
      </c>
      <c r="L51" s="5" t="e">
        <f>Table6[[#This Row],[Moment w zwarciu 12V '[Nm/A']]]*Table6[[#This Row],[Napięcie (Dane RPM)]]/12/Table6[[#This Row],[Waga]]</f>
        <v>#DIV/0!</v>
      </c>
      <c r="M51" s="3">
        <f>Table6[[#This Row],[RPM 24V]]*$S$3/24</f>
        <v>0</v>
      </c>
      <c r="N51" s="4" t="e">
        <f>Table6[[#This Row],[Prąd w zwarciu 12V '[A']]]*$S$3/12</f>
        <v>#DIV/0!</v>
      </c>
      <c r="O51" s="7" t="e">
        <f>Table6[[#This Row],[Moment w zwarciu 12V '[Nm/A']]]*$S$3/12</f>
        <v>#DIV/0!</v>
      </c>
      <c r="P51" s="5" t="e">
        <f>Table6[[#This Row],[Moment w zwarciu 12V '[Nm/A']]]*$S$3/12/Table6[[#This Row],[Waga]]</f>
        <v>#DIV/0!</v>
      </c>
    </row>
    <row r="52" spans="6:16" ht="18" customHeight="1" x14ac:dyDescent="0.25">
      <c r="F52" s="3" t="e">
        <f>(12-Table6[[#This Row],[Prąd 24V '[mA']]]/10000*Table6[[#This Row],[Opór uzwojeń '[U/1A']]])/(Table6[[#This Row],[RPM 24V]]*PI()/30)*1000</f>
        <v>#DIV/0!</v>
      </c>
      <c r="G52" s="4" t="e">
        <f>12/Table6[[#This Row],[Opór uzwojeń '[U/1A']]]</f>
        <v>#DIV/0!</v>
      </c>
      <c r="H52" s="5" t="e">
        <f>Table6[[#This Row],[Stała momentu '[Nm/mA']]]*(Table6[[#This Row],[Prąd w zwarciu 12V '[A']]]-Table6[[#This Row],[Prąd 24V '[mA']]]/1000)</f>
        <v>#DIV/0!</v>
      </c>
      <c r="I52" s="3" t="e">
        <f>$S$2*24/Table6[[#This Row],[RPM 24V]]</f>
        <v>#DIV/0!</v>
      </c>
      <c r="J52" s="4" t="e">
        <f>Table6[[#This Row],[Prąd w zwarciu 12V '[A']]]*Table6[[#This Row],[Napięcie (Dane RPM)]]/12</f>
        <v>#DIV/0!</v>
      </c>
      <c r="K52" s="4" t="e">
        <f>Table6[[#This Row],[Moment w zwarciu 12V '[Nm/A']]]*Table6[[#This Row],[Napięcie (Dane RPM)]]/12</f>
        <v>#DIV/0!</v>
      </c>
      <c r="L52" s="5" t="e">
        <f>Table6[[#This Row],[Moment w zwarciu 12V '[Nm/A']]]*Table6[[#This Row],[Napięcie (Dane RPM)]]/12/Table6[[#This Row],[Waga]]</f>
        <v>#DIV/0!</v>
      </c>
      <c r="M52" s="3">
        <f>Table6[[#This Row],[RPM 24V]]*$S$3/24</f>
        <v>0</v>
      </c>
      <c r="N52" s="4" t="e">
        <f>Table6[[#This Row],[Prąd w zwarciu 12V '[A']]]*$S$3/12</f>
        <v>#DIV/0!</v>
      </c>
      <c r="O52" s="7" t="e">
        <f>Table6[[#This Row],[Moment w zwarciu 12V '[Nm/A']]]*$S$3/12</f>
        <v>#DIV/0!</v>
      </c>
      <c r="P52" s="5" t="e">
        <f>Table6[[#This Row],[Moment w zwarciu 12V '[Nm/A']]]*$S$3/12/Table6[[#This Row],[Waga]]</f>
        <v>#DIV/0!</v>
      </c>
    </row>
    <row r="53" spans="6:16" ht="18" customHeight="1" x14ac:dyDescent="0.25">
      <c r="F53" s="3" t="e">
        <f>(12-Table6[[#This Row],[Prąd 24V '[mA']]]/10000*Table6[[#This Row],[Opór uzwojeń '[U/1A']]])/(Table6[[#This Row],[RPM 24V]]*PI()/30)*1000</f>
        <v>#DIV/0!</v>
      </c>
      <c r="G53" s="4" t="e">
        <f>12/Table6[[#This Row],[Opór uzwojeń '[U/1A']]]</f>
        <v>#DIV/0!</v>
      </c>
      <c r="H53" s="5" t="e">
        <f>Table6[[#This Row],[Stała momentu '[Nm/mA']]]*(Table6[[#This Row],[Prąd w zwarciu 12V '[A']]]-Table6[[#This Row],[Prąd 24V '[mA']]]/1000)</f>
        <v>#DIV/0!</v>
      </c>
      <c r="I53" s="3" t="e">
        <f>$S$2*24/Table6[[#This Row],[RPM 24V]]</f>
        <v>#DIV/0!</v>
      </c>
      <c r="J53" s="4" t="e">
        <f>Table6[[#This Row],[Prąd w zwarciu 12V '[A']]]*Table6[[#This Row],[Napięcie (Dane RPM)]]/12</f>
        <v>#DIV/0!</v>
      </c>
      <c r="K53" s="4" t="e">
        <f>Table6[[#This Row],[Moment w zwarciu 12V '[Nm/A']]]*Table6[[#This Row],[Napięcie (Dane RPM)]]/12</f>
        <v>#DIV/0!</v>
      </c>
      <c r="L53" s="5" t="e">
        <f>Table6[[#This Row],[Moment w zwarciu 12V '[Nm/A']]]*Table6[[#This Row],[Napięcie (Dane RPM)]]/12/Table6[[#This Row],[Waga]]</f>
        <v>#DIV/0!</v>
      </c>
      <c r="M53" s="3">
        <f>Table6[[#This Row],[RPM 24V]]*$S$3/24</f>
        <v>0</v>
      </c>
      <c r="N53" s="4" t="e">
        <f>Table6[[#This Row],[Prąd w zwarciu 12V '[A']]]*$S$3/12</f>
        <v>#DIV/0!</v>
      </c>
      <c r="O53" s="7" t="e">
        <f>Table6[[#This Row],[Moment w zwarciu 12V '[Nm/A']]]*$S$3/12</f>
        <v>#DIV/0!</v>
      </c>
      <c r="P53" s="5" t="e">
        <f>Table6[[#This Row],[Moment w zwarciu 12V '[Nm/A']]]*$S$3/12/Table6[[#This Row],[Waga]]</f>
        <v>#DIV/0!</v>
      </c>
    </row>
    <row r="54" spans="6:16" ht="18" customHeight="1" x14ac:dyDescent="0.25">
      <c r="F54" s="3" t="e">
        <f>(12-Table6[[#This Row],[Prąd 24V '[mA']]]/10000*Table6[[#This Row],[Opór uzwojeń '[U/1A']]])/(Table6[[#This Row],[RPM 24V]]*PI()/30)*1000</f>
        <v>#DIV/0!</v>
      </c>
      <c r="G54" s="4" t="e">
        <f>12/Table6[[#This Row],[Opór uzwojeń '[U/1A']]]</f>
        <v>#DIV/0!</v>
      </c>
      <c r="H54" s="5" t="e">
        <f>Table6[[#This Row],[Stała momentu '[Nm/mA']]]*(Table6[[#This Row],[Prąd w zwarciu 12V '[A']]]-Table6[[#This Row],[Prąd 24V '[mA']]]/1000)</f>
        <v>#DIV/0!</v>
      </c>
      <c r="I54" s="3" t="e">
        <f>$S$2*24/Table6[[#This Row],[RPM 24V]]</f>
        <v>#DIV/0!</v>
      </c>
      <c r="J54" s="4" t="e">
        <f>Table6[[#This Row],[Prąd w zwarciu 12V '[A']]]*Table6[[#This Row],[Napięcie (Dane RPM)]]/12</f>
        <v>#DIV/0!</v>
      </c>
      <c r="K54" s="4" t="e">
        <f>Table6[[#This Row],[Moment w zwarciu 12V '[Nm/A']]]*Table6[[#This Row],[Napięcie (Dane RPM)]]/12</f>
        <v>#DIV/0!</v>
      </c>
      <c r="L54" s="5" t="e">
        <f>Table6[[#This Row],[Moment w zwarciu 12V '[Nm/A']]]*Table6[[#This Row],[Napięcie (Dane RPM)]]/12/Table6[[#This Row],[Waga]]</f>
        <v>#DIV/0!</v>
      </c>
      <c r="M54" s="3">
        <f>Table6[[#This Row],[RPM 24V]]*$S$3/24</f>
        <v>0</v>
      </c>
      <c r="N54" s="4" t="e">
        <f>Table6[[#This Row],[Prąd w zwarciu 12V '[A']]]*$S$3/12</f>
        <v>#DIV/0!</v>
      </c>
      <c r="O54" s="7" t="e">
        <f>Table6[[#This Row],[Moment w zwarciu 12V '[Nm/A']]]*$S$3/12</f>
        <v>#DIV/0!</v>
      </c>
      <c r="P54" s="5" t="e">
        <f>Table6[[#This Row],[Moment w zwarciu 12V '[Nm/A']]]*$S$3/12/Table6[[#This Row],[Waga]]</f>
        <v>#DIV/0!</v>
      </c>
    </row>
    <row r="55" spans="6:16" ht="18" customHeight="1" x14ac:dyDescent="0.25">
      <c r="F55" s="3" t="e">
        <f>(12-Table6[[#This Row],[Prąd 24V '[mA']]]/10000*Table6[[#This Row],[Opór uzwojeń '[U/1A']]])/(Table6[[#This Row],[RPM 24V]]*PI()/30)*1000</f>
        <v>#DIV/0!</v>
      </c>
      <c r="G55" s="4" t="e">
        <f>12/Table6[[#This Row],[Opór uzwojeń '[U/1A']]]</f>
        <v>#DIV/0!</v>
      </c>
      <c r="H55" s="5" t="e">
        <f>Table6[[#This Row],[Stała momentu '[Nm/mA']]]*(Table6[[#This Row],[Prąd w zwarciu 12V '[A']]]-Table6[[#This Row],[Prąd 24V '[mA']]]/1000)</f>
        <v>#DIV/0!</v>
      </c>
      <c r="I55" s="3" t="e">
        <f>$S$2*24/Table6[[#This Row],[RPM 24V]]</f>
        <v>#DIV/0!</v>
      </c>
      <c r="J55" s="4" t="e">
        <f>Table6[[#This Row],[Prąd w zwarciu 12V '[A']]]*Table6[[#This Row],[Napięcie (Dane RPM)]]/12</f>
        <v>#DIV/0!</v>
      </c>
      <c r="K55" s="4" t="e">
        <f>Table6[[#This Row],[Moment w zwarciu 12V '[Nm/A']]]*Table6[[#This Row],[Napięcie (Dane RPM)]]/12</f>
        <v>#DIV/0!</v>
      </c>
      <c r="L55" s="5" t="e">
        <f>Table6[[#This Row],[Moment w zwarciu 12V '[Nm/A']]]*Table6[[#This Row],[Napięcie (Dane RPM)]]/12/Table6[[#This Row],[Waga]]</f>
        <v>#DIV/0!</v>
      </c>
      <c r="M55" s="3">
        <f>Table6[[#This Row],[RPM 24V]]*$S$3/24</f>
        <v>0</v>
      </c>
      <c r="N55" s="4" t="e">
        <f>Table6[[#This Row],[Prąd w zwarciu 12V '[A']]]*$S$3/12</f>
        <v>#DIV/0!</v>
      </c>
      <c r="O55" s="7" t="e">
        <f>Table6[[#This Row],[Moment w zwarciu 12V '[Nm/A']]]*$S$3/12</f>
        <v>#DIV/0!</v>
      </c>
      <c r="P55" s="5" t="e">
        <f>Table6[[#This Row],[Moment w zwarciu 12V '[Nm/A']]]*$S$3/12/Table6[[#This Row],[Waga]]</f>
        <v>#DIV/0!</v>
      </c>
    </row>
    <row r="56" spans="6:16" ht="18" customHeight="1" x14ac:dyDescent="0.25">
      <c r="F56" s="3" t="e">
        <f>(12-Table6[[#This Row],[Prąd 24V '[mA']]]/10000*Table6[[#This Row],[Opór uzwojeń '[U/1A']]])/(Table6[[#This Row],[RPM 24V]]*PI()/30)*1000</f>
        <v>#DIV/0!</v>
      </c>
      <c r="G56" s="4" t="e">
        <f>12/Table6[[#This Row],[Opór uzwojeń '[U/1A']]]</f>
        <v>#DIV/0!</v>
      </c>
      <c r="H56" s="5" t="e">
        <f>Table6[[#This Row],[Stała momentu '[Nm/mA']]]*(Table6[[#This Row],[Prąd w zwarciu 12V '[A']]]-Table6[[#This Row],[Prąd 24V '[mA']]]/1000)</f>
        <v>#DIV/0!</v>
      </c>
      <c r="I56" s="3" t="e">
        <f>$S$2*24/Table6[[#This Row],[RPM 24V]]</f>
        <v>#DIV/0!</v>
      </c>
      <c r="J56" s="4" t="e">
        <f>Table6[[#This Row],[Prąd w zwarciu 12V '[A']]]*Table6[[#This Row],[Napięcie (Dane RPM)]]/12</f>
        <v>#DIV/0!</v>
      </c>
      <c r="K56" s="4" t="e">
        <f>Table6[[#This Row],[Moment w zwarciu 12V '[Nm/A']]]*Table6[[#This Row],[Napięcie (Dane RPM)]]/12</f>
        <v>#DIV/0!</v>
      </c>
      <c r="L56" s="5" t="e">
        <f>Table6[[#This Row],[Moment w zwarciu 12V '[Nm/A']]]*Table6[[#This Row],[Napięcie (Dane RPM)]]/12/Table6[[#This Row],[Waga]]</f>
        <v>#DIV/0!</v>
      </c>
      <c r="M56" s="3">
        <f>Table6[[#This Row],[RPM 24V]]*$S$3/24</f>
        <v>0</v>
      </c>
      <c r="N56" s="4" t="e">
        <f>Table6[[#This Row],[Prąd w zwarciu 12V '[A']]]*$S$3/12</f>
        <v>#DIV/0!</v>
      </c>
      <c r="O56" s="7" t="e">
        <f>Table6[[#This Row],[Moment w zwarciu 12V '[Nm/A']]]*$S$3/12</f>
        <v>#DIV/0!</v>
      </c>
      <c r="P56" s="5" t="e">
        <f>Table6[[#This Row],[Moment w zwarciu 12V '[Nm/A']]]*$S$3/12/Table6[[#This Row],[Waga]]</f>
        <v>#DIV/0!</v>
      </c>
    </row>
    <row r="57" spans="6:16" ht="18" customHeight="1" x14ac:dyDescent="0.25">
      <c r="F57" s="3" t="e">
        <f>(12-Table6[[#This Row],[Prąd 24V '[mA']]]/10000*Table6[[#This Row],[Opór uzwojeń '[U/1A']]])/(Table6[[#This Row],[RPM 24V]]*PI()/30)*1000</f>
        <v>#DIV/0!</v>
      </c>
      <c r="G57" s="4" t="e">
        <f>12/Table6[[#This Row],[Opór uzwojeń '[U/1A']]]</f>
        <v>#DIV/0!</v>
      </c>
      <c r="H57" s="5" t="e">
        <f>Table6[[#This Row],[Stała momentu '[Nm/mA']]]*(Table6[[#This Row],[Prąd w zwarciu 12V '[A']]]-Table6[[#This Row],[Prąd 24V '[mA']]]/1000)</f>
        <v>#DIV/0!</v>
      </c>
      <c r="I57" s="3" t="e">
        <f>$S$2*24/Table6[[#This Row],[RPM 24V]]</f>
        <v>#DIV/0!</v>
      </c>
      <c r="J57" s="4" t="e">
        <f>Table6[[#This Row],[Prąd w zwarciu 12V '[A']]]*Table6[[#This Row],[Napięcie (Dane RPM)]]/12</f>
        <v>#DIV/0!</v>
      </c>
      <c r="K57" s="4" t="e">
        <f>Table6[[#This Row],[Moment w zwarciu 12V '[Nm/A']]]*Table6[[#This Row],[Napięcie (Dane RPM)]]/12</f>
        <v>#DIV/0!</v>
      </c>
      <c r="L57" s="5" t="e">
        <f>Table6[[#This Row],[Moment w zwarciu 12V '[Nm/A']]]*Table6[[#This Row],[Napięcie (Dane RPM)]]/12/Table6[[#This Row],[Waga]]</f>
        <v>#DIV/0!</v>
      </c>
      <c r="M57" s="3">
        <f>Table6[[#This Row],[RPM 24V]]*$S$3/24</f>
        <v>0</v>
      </c>
      <c r="N57" s="4" t="e">
        <f>Table6[[#This Row],[Prąd w zwarciu 12V '[A']]]*$S$3/12</f>
        <v>#DIV/0!</v>
      </c>
      <c r="O57" s="7" t="e">
        <f>Table6[[#This Row],[Moment w zwarciu 12V '[Nm/A']]]*$S$3/12</f>
        <v>#DIV/0!</v>
      </c>
      <c r="P57" s="5" t="e">
        <f>Table6[[#This Row],[Moment w zwarciu 12V '[Nm/A']]]*$S$3/12/Table6[[#This Row],[Waga]]</f>
        <v>#DIV/0!</v>
      </c>
    </row>
    <row r="58" spans="6:16" ht="18" customHeight="1" x14ac:dyDescent="0.25">
      <c r="F58" s="3" t="e">
        <f>(12-Table6[[#This Row],[Prąd 24V '[mA']]]/10000*Table6[[#This Row],[Opór uzwojeń '[U/1A']]])/(Table6[[#This Row],[RPM 24V]]*PI()/30)*1000</f>
        <v>#DIV/0!</v>
      </c>
      <c r="G58" s="4" t="e">
        <f>12/Table6[[#This Row],[Opór uzwojeń '[U/1A']]]</f>
        <v>#DIV/0!</v>
      </c>
      <c r="H58" s="5" t="e">
        <f>Table6[[#This Row],[Stała momentu '[Nm/mA']]]*(Table6[[#This Row],[Prąd w zwarciu 12V '[A']]]-Table6[[#This Row],[Prąd 24V '[mA']]]/1000)</f>
        <v>#DIV/0!</v>
      </c>
      <c r="I58" s="3" t="e">
        <f>$S$2*24/Table6[[#This Row],[RPM 24V]]</f>
        <v>#DIV/0!</v>
      </c>
      <c r="J58" s="4" t="e">
        <f>Table6[[#This Row],[Prąd w zwarciu 12V '[A']]]*Table6[[#This Row],[Napięcie (Dane RPM)]]/12</f>
        <v>#DIV/0!</v>
      </c>
      <c r="K58" s="4" t="e">
        <f>Table6[[#This Row],[Moment w zwarciu 12V '[Nm/A']]]*Table6[[#This Row],[Napięcie (Dane RPM)]]/12</f>
        <v>#DIV/0!</v>
      </c>
      <c r="L58" s="5" t="e">
        <f>Table6[[#This Row],[Moment w zwarciu 12V '[Nm/A']]]*Table6[[#This Row],[Napięcie (Dane RPM)]]/12/Table6[[#This Row],[Waga]]</f>
        <v>#DIV/0!</v>
      </c>
      <c r="M58" s="3">
        <f>Table6[[#This Row],[RPM 24V]]*$S$3/24</f>
        <v>0</v>
      </c>
      <c r="N58" s="4" t="e">
        <f>Table6[[#This Row],[Prąd w zwarciu 12V '[A']]]*$S$3/12</f>
        <v>#DIV/0!</v>
      </c>
      <c r="O58" s="7" t="e">
        <f>Table6[[#This Row],[Moment w zwarciu 12V '[Nm/A']]]*$S$3/12</f>
        <v>#DIV/0!</v>
      </c>
      <c r="P58" s="5" t="e">
        <f>Table6[[#This Row],[Moment w zwarciu 12V '[Nm/A']]]*$S$3/12/Table6[[#This Row],[Waga]]</f>
        <v>#DIV/0!</v>
      </c>
    </row>
    <row r="59" spans="6:16" ht="18" customHeight="1" x14ac:dyDescent="0.25">
      <c r="F59" s="3" t="e">
        <f>(12-Table6[[#This Row],[Prąd 24V '[mA']]]/10000*Table6[[#This Row],[Opór uzwojeń '[U/1A']]])/(Table6[[#This Row],[RPM 24V]]*PI()/30)*1000</f>
        <v>#DIV/0!</v>
      </c>
      <c r="G59" s="4" t="e">
        <f>12/Table6[[#This Row],[Opór uzwojeń '[U/1A']]]</f>
        <v>#DIV/0!</v>
      </c>
      <c r="H59" s="5" t="e">
        <f>Table6[[#This Row],[Stała momentu '[Nm/mA']]]*(Table6[[#This Row],[Prąd w zwarciu 12V '[A']]]-Table6[[#This Row],[Prąd 24V '[mA']]]/1000)</f>
        <v>#DIV/0!</v>
      </c>
      <c r="I59" s="3" t="e">
        <f>$S$2*24/Table6[[#This Row],[RPM 24V]]</f>
        <v>#DIV/0!</v>
      </c>
      <c r="J59" s="4" t="e">
        <f>Table6[[#This Row],[Prąd w zwarciu 12V '[A']]]*Table6[[#This Row],[Napięcie (Dane RPM)]]/12</f>
        <v>#DIV/0!</v>
      </c>
      <c r="K59" s="4" t="e">
        <f>Table6[[#This Row],[Moment w zwarciu 12V '[Nm/A']]]*Table6[[#This Row],[Napięcie (Dane RPM)]]/12</f>
        <v>#DIV/0!</v>
      </c>
      <c r="L59" s="5" t="e">
        <f>Table6[[#This Row],[Moment w zwarciu 12V '[Nm/A']]]*Table6[[#This Row],[Napięcie (Dane RPM)]]/12/Table6[[#This Row],[Waga]]</f>
        <v>#DIV/0!</v>
      </c>
      <c r="M59" s="3">
        <f>Table6[[#This Row],[RPM 24V]]*$S$3/24</f>
        <v>0</v>
      </c>
      <c r="N59" s="4" t="e">
        <f>Table6[[#This Row],[Prąd w zwarciu 12V '[A']]]*$S$3/12</f>
        <v>#DIV/0!</v>
      </c>
      <c r="O59" s="7" t="e">
        <f>Table6[[#This Row],[Moment w zwarciu 12V '[Nm/A']]]*$S$3/12</f>
        <v>#DIV/0!</v>
      </c>
      <c r="P59" s="5" t="e">
        <f>Table6[[#This Row],[Moment w zwarciu 12V '[Nm/A']]]*$S$3/12/Table6[[#This Row],[Waga]]</f>
        <v>#DIV/0!</v>
      </c>
    </row>
    <row r="60" spans="6:16" ht="18" customHeight="1" x14ac:dyDescent="0.25">
      <c r="F60" s="3" t="e">
        <f>(12-Table6[[#This Row],[Prąd 24V '[mA']]]/10000*Table6[[#This Row],[Opór uzwojeń '[U/1A']]])/(Table6[[#This Row],[RPM 24V]]*PI()/30)*1000</f>
        <v>#DIV/0!</v>
      </c>
      <c r="G60" s="4" t="e">
        <f>12/Table6[[#This Row],[Opór uzwojeń '[U/1A']]]</f>
        <v>#DIV/0!</v>
      </c>
      <c r="H60" s="5" t="e">
        <f>Table6[[#This Row],[Stała momentu '[Nm/mA']]]*(Table6[[#This Row],[Prąd w zwarciu 12V '[A']]]-Table6[[#This Row],[Prąd 24V '[mA']]]/1000)</f>
        <v>#DIV/0!</v>
      </c>
      <c r="I60" s="3" t="e">
        <f>$S$2*24/Table6[[#This Row],[RPM 24V]]</f>
        <v>#DIV/0!</v>
      </c>
      <c r="J60" s="4" t="e">
        <f>Table6[[#This Row],[Prąd w zwarciu 12V '[A']]]*Table6[[#This Row],[Napięcie (Dane RPM)]]/12</f>
        <v>#DIV/0!</v>
      </c>
      <c r="K60" s="4" t="e">
        <f>Table6[[#This Row],[Moment w zwarciu 12V '[Nm/A']]]*Table6[[#This Row],[Napięcie (Dane RPM)]]/12</f>
        <v>#DIV/0!</v>
      </c>
      <c r="L60" s="5" t="e">
        <f>Table6[[#This Row],[Moment w zwarciu 12V '[Nm/A']]]*Table6[[#This Row],[Napięcie (Dane RPM)]]/12/Table6[[#This Row],[Waga]]</f>
        <v>#DIV/0!</v>
      </c>
      <c r="M60" s="3">
        <f>Table6[[#This Row],[RPM 24V]]*$S$3/24</f>
        <v>0</v>
      </c>
      <c r="N60" s="4" t="e">
        <f>Table6[[#This Row],[Prąd w zwarciu 12V '[A']]]*$S$3/12</f>
        <v>#DIV/0!</v>
      </c>
      <c r="O60" s="7" t="e">
        <f>Table6[[#This Row],[Moment w zwarciu 12V '[Nm/A']]]*$S$3/12</f>
        <v>#DIV/0!</v>
      </c>
      <c r="P60" s="5" t="e">
        <f>Table6[[#This Row],[Moment w zwarciu 12V '[Nm/A']]]*$S$3/12/Table6[[#This Row],[Waga]]</f>
        <v>#DIV/0!</v>
      </c>
    </row>
    <row r="61" spans="6:16" ht="18" customHeight="1" x14ac:dyDescent="0.25">
      <c r="F61" s="3" t="e">
        <f>(12-Table6[[#This Row],[Prąd 24V '[mA']]]/10000*Table6[[#This Row],[Opór uzwojeń '[U/1A']]])/(Table6[[#This Row],[RPM 24V]]*PI()/30)*1000</f>
        <v>#DIV/0!</v>
      </c>
      <c r="G61" s="4" t="e">
        <f>12/Table6[[#This Row],[Opór uzwojeń '[U/1A']]]</f>
        <v>#DIV/0!</v>
      </c>
      <c r="H61" s="5" t="e">
        <f>Table6[[#This Row],[Stała momentu '[Nm/mA']]]*(Table6[[#This Row],[Prąd w zwarciu 12V '[A']]]-Table6[[#This Row],[Prąd 24V '[mA']]]/1000)</f>
        <v>#DIV/0!</v>
      </c>
      <c r="I61" s="3" t="e">
        <f>$S$2*24/Table6[[#This Row],[RPM 24V]]</f>
        <v>#DIV/0!</v>
      </c>
      <c r="J61" s="4" t="e">
        <f>Table6[[#This Row],[Prąd w zwarciu 12V '[A']]]*Table6[[#This Row],[Napięcie (Dane RPM)]]/12</f>
        <v>#DIV/0!</v>
      </c>
      <c r="K61" s="4" t="e">
        <f>Table6[[#This Row],[Moment w zwarciu 12V '[Nm/A']]]*Table6[[#This Row],[Napięcie (Dane RPM)]]/12</f>
        <v>#DIV/0!</v>
      </c>
      <c r="L61" s="5" t="e">
        <f>Table6[[#This Row],[Moment w zwarciu 12V '[Nm/A']]]*Table6[[#This Row],[Napięcie (Dane RPM)]]/12/Table6[[#This Row],[Waga]]</f>
        <v>#DIV/0!</v>
      </c>
      <c r="M61" s="3">
        <f>Table6[[#This Row],[RPM 24V]]*$S$3/24</f>
        <v>0</v>
      </c>
      <c r="N61" s="4" t="e">
        <f>Table6[[#This Row],[Prąd w zwarciu 12V '[A']]]*$S$3/12</f>
        <v>#DIV/0!</v>
      </c>
      <c r="O61" s="7" t="e">
        <f>Table6[[#This Row],[Moment w zwarciu 12V '[Nm/A']]]*$S$3/12</f>
        <v>#DIV/0!</v>
      </c>
      <c r="P61" s="5" t="e">
        <f>Table6[[#This Row],[Moment w zwarciu 12V '[Nm/A']]]*$S$3/12/Table6[[#This Row],[Waga]]</f>
        <v>#DIV/0!</v>
      </c>
    </row>
    <row r="62" spans="6:16" ht="18" customHeight="1" x14ac:dyDescent="0.25">
      <c r="F62" s="3" t="e">
        <f>(12-Table6[[#This Row],[Prąd 24V '[mA']]]/10000*Table6[[#This Row],[Opór uzwojeń '[U/1A']]])/(Table6[[#This Row],[RPM 24V]]*PI()/30)*1000</f>
        <v>#DIV/0!</v>
      </c>
      <c r="G62" s="4" t="e">
        <f>12/Table6[[#This Row],[Opór uzwojeń '[U/1A']]]</f>
        <v>#DIV/0!</v>
      </c>
      <c r="H62" s="5" t="e">
        <f>Table6[[#This Row],[Stała momentu '[Nm/mA']]]*(Table6[[#This Row],[Prąd w zwarciu 12V '[A']]]-Table6[[#This Row],[Prąd 24V '[mA']]]/1000)</f>
        <v>#DIV/0!</v>
      </c>
      <c r="I62" s="3" t="e">
        <f>$S$2*24/Table6[[#This Row],[RPM 24V]]</f>
        <v>#DIV/0!</v>
      </c>
      <c r="J62" s="4" t="e">
        <f>Table6[[#This Row],[Prąd w zwarciu 12V '[A']]]*Table6[[#This Row],[Napięcie (Dane RPM)]]/12</f>
        <v>#DIV/0!</v>
      </c>
      <c r="K62" s="4" t="e">
        <f>Table6[[#This Row],[Moment w zwarciu 12V '[Nm/A']]]*Table6[[#This Row],[Napięcie (Dane RPM)]]/12</f>
        <v>#DIV/0!</v>
      </c>
      <c r="L62" s="5" t="e">
        <f>Table6[[#This Row],[Moment w zwarciu 12V '[Nm/A']]]*Table6[[#This Row],[Napięcie (Dane RPM)]]/12/Table6[[#This Row],[Waga]]</f>
        <v>#DIV/0!</v>
      </c>
      <c r="M62" s="3">
        <f>Table6[[#This Row],[RPM 24V]]*$S$3/24</f>
        <v>0</v>
      </c>
      <c r="N62" s="4" t="e">
        <f>Table6[[#This Row],[Prąd w zwarciu 12V '[A']]]*$S$3/12</f>
        <v>#DIV/0!</v>
      </c>
      <c r="O62" s="7" t="e">
        <f>Table6[[#This Row],[Moment w zwarciu 12V '[Nm/A']]]*$S$3/12</f>
        <v>#DIV/0!</v>
      </c>
      <c r="P62" s="5" t="e">
        <f>Table6[[#This Row],[Moment w zwarciu 12V '[Nm/A']]]*$S$3/12/Table6[[#This Row],[Waga]]</f>
        <v>#DIV/0!</v>
      </c>
    </row>
    <row r="63" spans="6:16" ht="18" customHeight="1" x14ac:dyDescent="0.25">
      <c r="F63" s="3" t="e">
        <f>(12-Table6[[#This Row],[Prąd 24V '[mA']]]/10000*Table6[[#This Row],[Opór uzwojeń '[U/1A']]])/(Table6[[#This Row],[RPM 24V]]*PI()/30)*1000</f>
        <v>#DIV/0!</v>
      </c>
      <c r="G63" s="4" t="e">
        <f>12/Table6[[#This Row],[Opór uzwojeń '[U/1A']]]</f>
        <v>#DIV/0!</v>
      </c>
      <c r="H63" s="5" t="e">
        <f>Table6[[#This Row],[Stała momentu '[Nm/mA']]]*(Table6[[#This Row],[Prąd w zwarciu 12V '[A']]]-Table6[[#This Row],[Prąd 24V '[mA']]]/1000)</f>
        <v>#DIV/0!</v>
      </c>
      <c r="I63" s="3" t="e">
        <f>$S$2*24/Table6[[#This Row],[RPM 24V]]</f>
        <v>#DIV/0!</v>
      </c>
      <c r="J63" s="4" t="e">
        <f>Table6[[#This Row],[Prąd w zwarciu 12V '[A']]]*Table6[[#This Row],[Napięcie (Dane RPM)]]/12</f>
        <v>#DIV/0!</v>
      </c>
      <c r="K63" s="4" t="e">
        <f>Table6[[#This Row],[Moment w zwarciu 12V '[Nm/A']]]*Table6[[#This Row],[Napięcie (Dane RPM)]]/12</f>
        <v>#DIV/0!</v>
      </c>
      <c r="L63" s="5" t="e">
        <f>Table6[[#This Row],[Moment w zwarciu 12V '[Nm/A']]]*Table6[[#This Row],[Napięcie (Dane RPM)]]/12/Table6[[#This Row],[Waga]]</f>
        <v>#DIV/0!</v>
      </c>
      <c r="M63" s="3">
        <f>Table6[[#This Row],[RPM 24V]]*$S$3/24</f>
        <v>0</v>
      </c>
      <c r="N63" s="4" t="e">
        <f>Table6[[#This Row],[Prąd w zwarciu 12V '[A']]]*$S$3/12</f>
        <v>#DIV/0!</v>
      </c>
      <c r="O63" s="7" t="e">
        <f>Table6[[#This Row],[Moment w zwarciu 12V '[Nm/A']]]*$S$3/12</f>
        <v>#DIV/0!</v>
      </c>
      <c r="P63" s="5" t="e">
        <f>Table6[[#This Row],[Moment w zwarciu 12V '[Nm/A']]]*$S$3/12/Table6[[#This Row],[Waga]]</f>
        <v>#DIV/0!</v>
      </c>
    </row>
    <row r="64" spans="6:16" ht="18" customHeight="1" x14ac:dyDescent="0.25">
      <c r="F64" s="3" t="e">
        <f>(12-Table6[[#This Row],[Prąd 24V '[mA']]]/10000*Table6[[#This Row],[Opór uzwojeń '[U/1A']]])/(Table6[[#This Row],[RPM 24V]]*PI()/30)*1000</f>
        <v>#DIV/0!</v>
      </c>
      <c r="G64" s="4" t="e">
        <f>12/Table6[[#This Row],[Opór uzwojeń '[U/1A']]]</f>
        <v>#DIV/0!</v>
      </c>
      <c r="H64" s="5" t="e">
        <f>Table6[[#This Row],[Stała momentu '[Nm/mA']]]*(Table6[[#This Row],[Prąd w zwarciu 12V '[A']]]-Table6[[#This Row],[Prąd 24V '[mA']]]/1000)</f>
        <v>#DIV/0!</v>
      </c>
      <c r="I64" s="3" t="e">
        <f>$S$2*24/Table6[[#This Row],[RPM 24V]]</f>
        <v>#DIV/0!</v>
      </c>
      <c r="J64" s="4" t="e">
        <f>Table6[[#This Row],[Prąd w zwarciu 12V '[A']]]*Table6[[#This Row],[Napięcie (Dane RPM)]]/12</f>
        <v>#DIV/0!</v>
      </c>
      <c r="K64" s="4" t="e">
        <f>Table6[[#This Row],[Moment w zwarciu 12V '[Nm/A']]]*Table6[[#This Row],[Napięcie (Dane RPM)]]/12</f>
        <v>#DIV/0!</v>
      </c>
      <c r="L64" s="5" t="e">
        <f>Table6[[#This Row],[Moment w zwarciu 12V '[Nm/A']]]*Table6[[#This Row],[Napięcie (Dane RPM)]]/12/Table6[[#This Row],[Waga]]</f>
        <v>#DIV/0!</v>
      </c>
      <c r="M64" s="3">
        <f>Table6[[#This Row],[RPM 24V]]*$S$3/24</f>
        <v>0</v>
      </c>
      <c r="N64" s="4" t="e">
        <f>Table6[[#This Row],[Prąd w zwarciu 12V '[A']]]*$S$3/12</f>
        <v>#DIV/0!</v>
      </c>
      <c r="O64" s="7" t="e">
        <f>Table6[[#This Row],[Moment w zwarciu 12V '[Nm/A']]]*$S$3/12</f>
        <v>#DIV/0!</v>
      </c>
      <c r="P64" s="5" t="e">
        <f>Table6[[#This Row],[Moment w zwarciu 12V '[Nm/A']]]*$S$3/12/Table6[[#This Row],[Waga]]</f>
        <v>#DIV/0!</v>
      </c>
    </row>
    <row r="65" spans="6:16" ht="18" customHeight="1" x14ac:dyDescent="0.25">
      <c r="F65" s="3" t="e">
        <f>(12-Table6[[#This Row],[Prąd 24V '[mA']]]/10000*Table6[[#This Row],[Opór uzwojeń '[U/1A']]])/(Table6[[#This Row],[RPM 24V]]*PI()/30)*1000</f>
        <v>#DIV/0!</v>
      </c>
      <c r="G65" s="4" t="e">
        <f>12/Table6[[#This Row],[Opór uzwojeń '[U/1A']]]</f>
        <v>#DIV/0!</v>
      </c>
      <c r="H65" s="5" t="e">
        <f>Table6[[#This Row],[Stała momentu '[Nm/mA']]]*(Table6[[#This Row],[Prąd w zwarciu 12V '[A']]]-Table6[[#This Row],[Prąd 24V '[mA']]]/1000)</f>
        <v>#DIV/0!</v>
      </c>
      <c r="I65" s="3" t="e">
        <f>$S$2*24/Table6[[#This Row],[RPM 24V]]</f>
        <v>#DIV/0!</v>
      </c>
      <c r="J65" s="4" t="e">
        <f>Table6[[#This Row],[Prąd w zwarciu 12V '[A']]]*Table6[[#This Row],[Napięcie (Dane RPM)]]/12</f>
        <v>#DIV/0!</v>
      </c>
      <c r="K65" s="4" t="e">
        <f>Table6[[#This Row],[Moment w zwarciu 12V '[Nm/A']]]*Table6[[#This Row],[Napięcie (Dane RPM)]]/12</f>
        <v>#DIV/0!</v>
      </c>
      <c r="L65" s="5" t="e">
        <f>Table6[[#This Row],[Moment w zwarciu 12V '[Nm/A']]]*Table6[[#This Row],[Napięcie (Dane RPM)]]/12/Table6[[#This Row],[Waga]]</f>
        <v>#DIV/0!</v>
      </c>
      <c r="M65" s="3">
        <f>Table6[[#This Row],[RPM 24V]]*$S$3/24</f>
        <v>0</v>
      </c>
      <c r="N65" s="4" t="e">
        <f>Table6[[#This Row],[Prąd w zwarciu 12V '[A']]]*$S$3/12</f>
        <v>#DIV/0!</v>
      </c>
      <c r="O65" s="7" t="e">
        <f>Table6[[#This Row],[Moment w zwarciu 12V '[Nm/A']]]*$S$3/12</f>
        <v>#DIV/0!</v>
      </c>
      <c r="P65" s="5" t="e">
        <f>Table6[[#This Row],[Moment w zwarciu 12V '[Nm/A']]]*$S$3/12/Table6[[#This Row],[Waga]]</f>
        <v>#DIV/0!</v>
      </c>
    </row>
    <row r="66" spans="6:16" ht="18" customHeight="1" x14ac:dyDescent="0.25">
      <c r="F66" s="3" t="e">
        <f>(12-Table6[[#This Row],[Prąd 24V '[mA']]]/10000*Table6[[#This Row],[Opór uzwojeń '[U/1A']]])/(Table6[[#This Row],[RPM 24V]]*PI()/30)*1000</f>
        <v>#DIV/0!</v>
      </c>
      <c r="G66" s="4" t="e">
        <f>12/Table6[[#This Row],[Opór uzwojeń '[U/1A']]]</f>
        <v>#DIV/0!</v>
      </c>
      <c r="H66" s="5" t="e">
        <f>Table6[[#This Row],[Stała momentu '[Nm/mA']]]*(Table6[[#This Row],[Prąd w zwarciu 12V '[A']]]-Table6[[#This Row],[Prąd 24V '[mA']]]/1000)</f>
        <v>#DIV/0!</v>
      </c>
      <c r="I66" s="3" t="e">
        <f>$S$2*24/Table6[[#This Row],[RPM 24V]]</f>
        <v>#DIV/0!</v>
      </c>
      <c r="J66" s="4" t="e">
        <f>Table6[[#This Row],[Prąd w zwarciu 12V '[A']]]*Table6[[#This Row],[Napięcie (Dane RPM)]]/12</f>
        <v>#DIV/0!</v>
      </c>
      <c r="K66" s="4" t="e">
        <f>Table6[[#This Row],[Moment w zwarciu 12V '[Nm/A']]]*Table6[[#This Row],[Napięcie (Dane RPM)]]/12</f>
        <v>#DIV/0!</v>
      </c>
      <c r="L66" s="5" t="e">
        <f>Table6[[#This Row],[Moment w zwarciu 12V '[Nm/A']]]*Table6[[#This Row],[Napięcie (Dane RPM)]]/12/Table6[[#This Row],[Waga]]</f>
        <v>#DIV/0!</v>
      </c>
      <c r="M66" s="3">
        <f>Table6[[#This Row],[RPM 24V]]*$S$3/24</f>
        <v>0</v>
      </c>
      <c r="N66" s="4" t="e">
        <f>Table6[[#This Row],[Prąd w zwarciu 12V '[A']]]*$S$3/12</f>
        <v>#DIV/0!</v>
      </c>
      <c r="O66" s="7" t="e">
        <f>Table6[[#This Row],[Moment w zwarciu 12V '[Nm/A']]]*$S$3/12</f>
        <v>#DIV/0!</v>
      </c>
      <c r="P66" s="5" t="e">
        <f>Table6[[#This Row],[Moment w zwarciu 12V '[Nm/A']]]*$S$3/12/Table6[[#This Row],[Waga]]</f>
        <v>#DIV/0!</v>
      </c>
    </row>
    <row r="67" spans="6:16" ht="18" customHeight="1" x14ac:dyDescent="0.25">
      <c r="F67" s="3" t="e">
        <f>(12-Table6[[#This Row],[Prąd 24V '[mA']]]/10000*Table6[[#This Row],[Opór uzwojeń '[U/1A']]])/(Table6[[#This Row],[RPM 24V]]*PI()/30)*1000</f>
        <v>#DIV/0!</v>
      </c>
      <c r="G67" s="4" t="e">
        <f>12/Table6[[#This Row],[Opór uzwojeń '[U/1A']]]</f>
        <v>#DIV/0!</v>
      </c>
      <c r="H67" s="5" t="e">
        <f>Table6[[#This Row],[Stała momentu '[Nm/mA']]]*(Table6[[#This Row],[Prąd w zwarciu 12V '[A']]]-Table6[[#This Row],[Prąd 24V '[mA']]]/1000)</f>
        <v>#DIV/0!</v>
      </c>
      <c r="I67" s="3" t="e">
        <f>$S$2*24/Table6[[#This Row],[RPM 24V]]</f>
        <v>#DIV/0!</v>
      </c>
      <c r="J67" s="4" t="e">
        <f>Table6[[#This Row],[Prąd w zwarciu 12V '[A']]]*Table6[[#This Row],[Napięcie (Dane RPM)]]/12</f>
        <v>#DIV/0!</v>
      </c>
      <c r="K67" s="4" t="e">
        <f>Table6[[#This Row],[Moment w zwarciu 12V '[Nm/A']]]*Table6[[#This Row],[Napięcie (Dane RPM)]]/12</f>
        <v>#DIV/0!</v>
      </c>
      <c r="L67" s="5" t="e">
        <f>Table6[[#This Row],[Moment w zwarciu 12V '[Nm/A']]]*Table6[[#This Row],[Napięcie (Dane RPM)]]/12/Table6[[#This Row],[Waga]]</f>
        <v>#DIV/0!</v>
      </c>
      <c r="M67" s="3">
        <f>Table6[[#This Row],[RPM 24V]]*$S$3/24</f>
        <v>0</v>
      </c>
      <c r="N67" s="4" t="e">
        <f>Table6[[#This Row],[Prąd w zwarciu 12V '[A']]]*$S$3/12</f>
        <v>#DIV/0!</v>
      </c>
      <c r="O67" s="7" t="e">
        <f>Table6[[#This Row],[Moment w zwarciu 12V '[Nm/A']]]*$S$3/12</f>
        <v>#DIV/0!</v>
      </c>
      <c r="P67" s="5" t="e">
        <f>Table6[[#This Row],[Moment w zwarciu 12V '[Nm/A']]]*$S$3/12/Table6[[#This Row],[Waga]]</f>
        <v>#DIV/0!</v>
      </c>
    </row>
    <row r="68" spans="6:16" ht="18" customHeight="1" x14ac:dyDescent="0.25">
      <c r="F68" s="3" t="e">
        <f>(12-Table6[[#This Row],[Prąd 24V '[mA']]]/10000*Table6[[#This Row],[Opór uzwojeń '[U/1A']]])/(Table6[[#This Row],[RPM 24V]]*PI()/30)*1000</f>
        <v>#DIV/0!</v>
      </c>
      <c r="G68" s="4" t="e">
        <f>12/Table6[[#This Row],[Opór uzwojeń '[U/1A']]]</f>
        <v>#DIV/0!</v>
      </c>
      <c r="H68" s="5" t="e">
        <f>Table6[[#This Row],[Stała momentu '[Nm/mA']]]*(Table6[[#This Row],[Prąd w zwarciu 12V '[A']]]-Table6[[#This Row],[Prąd 24V '[mA']]]/1000)</f>
        <v>#DIV/0!</v>
      </c>
      <c r="I68" s="3" t="e">
        <f>$S$2*24/Table6[[#This Row],[RPM 24V]]</f>
        <v>#DIV/0!</v>
      </c>
      <c r="J68" s="4" t="e">
        <f>Table6[[#This Row],[Prąd w zwarciu 12V '[A']]]*Table6[[#This Row],[Napięcie (Dane RPM)]]/12</f>
        <v>#DIV/0!</v>
      </c>
      <c r="K68" s="4" t="e">
        <f>Table6[[#This Row],[Moment w zwarciu 12V '[Nm/A']]]*Table6[[#This Row],[Napięcie (Dane RPM)]]/12</f>
        <v>#DIV/0!</v>
      </c>
      <c r="L68" s="5" t="e">
        <f>Table6[[#This Row],[Moment w zwarciu 12V '[Nm/A']]]*Table6[[#This Row],[Napięcie (Dane RPM)]]/12/Table6[[#This Row],[Waga]]</f>
        <v>#DIV/0!</v>
      </c>
      <c r="M68" s="3">
        <f>Table6[[#This Row],[RPM 24V]]*$S$3/24</f>
        <v>0</v>
      </c>
      <c r="N68" s="4" t="e">
        <f>Table6[[#This Row],[Prąd w zwarciu 12V '[A']]]*$S$3/12</f>
        <v>#DIV/0!</v>
      </c>
      <c r="O68" s="7" t="e">
        <f>Table6[[#This Row],[Moment w zwarciu 12V '[Nm/A']]]*$S$3/12</f>
        <v>#DIV/0!</v>
      </c>
      <c r="P68" s="5" t="e">
        <f>Table6[[#This Row],[Moment w zwarciu 12V '[Nm/A']]]*$S$3/12/Table6[[#This Row],[Waga]]</f>
        <v>#DIV/0!</v>
      </c>
    </row>
    <row r="69" spans="6:16" ht="18" customHeight="1" x14ac:dyDescent="0.25">
      <c r="F69" s="3" t="e">
        <f>(12-Table6[[#This Row],[Prąd 24V '[mA']]]/10000*Table6[[#This Row],[Opór uzwojeń '[U/1A']]])/(Table6[[#This Row],[RPM 24V]]*PI()/30)*1000</f>
        <v>#DIV/0!</v>
      </c>
      <c r="G69" s="4" t="e">
        <f>12/Table6[[#This Row],[Opór uzwojeń '[U/1A']]]</f>
        <v>#DIV/0!</v>
      </c>
      <c r="H69" s="5" t="e">
        <f>Table6[[#This Row],[Stała momentu '[Nm/mA']]]*(Table6[[#This Row],[Prąd w zwarciu 12V '[A']]]-Table6[[#This Row],[Prąd 24V '[mA']]]/1000)</f>
        <v>#DIV/0!</v>
      </c>
      <c r="I69" s="3" t="e">
        <f>$S$2*24/Table6[[#This Row],[RPM 24V]]</f>
        <v>#DIV/0!</v>
      </c>
      <c r="J69" s="4" t="e">
        <f>Table6[[#This Row],[Prąd w zwarciu 12V '[A']]]*Table6[[#This Row],[Napięcie (Dane RPM)]]/12</f>
        <v>#DIV/0!</v>
      </c>
      <c r="K69" s="4" t="e">
        <f>Table6[[#This Row],[Moment w zwarciu 12V '[Nm/A']]]*Table6[[#This Row],[Napięcie (Dane RPM)]]/12</f>
        <v>#DIV/0!</v>
      </c>
      <c r="L69" s="5" t="e">
        <f>Table6[[#This Row],[Moment w zwarciu 12V '[Nm/A']]]*Table6[[#This Row],[Napięcie (Dane RPM)]]/12/Table6[[#This Row],[Waga]]</f>
        <v>#DIV/0!</v>
      </c>
      <c r="M69" s="3">
        <f>Table6[[#This Row],[RPM 24V]]*$S$3/24</f>
        <v>0</v>
      </c>
      <c r="N69" s="4" t="e">
        <f>Table6[[#This Row],[Prąd w zwarciu 12V '[A']]]*$S$3/12</f>
        <v>#DIV/0!</v>
      </c>
      <c r="O69" s="7" t="e">
        <f>Table6[[#This Row],[Moment w zwarciu 12V '[Nm/A']]]*$S$3/12</f>
        <v>#DIV/0!</v>
      </c>
      <c r="P69" s="5" t="e">
        <f>Table6[[#This Row],[Moment w zwarciu 12V '[Nm/A']]]*$S$3/12/Table6[[#This Row],[Waga]]</f>
        <v>#DIV/0!</v>
      </c>
    </row>
    <row r="70" spans="6:16" ht="18" customHeight="1" x14ac:dyDescent="0.25">
      <c r="F70" s="3" t="e">
        <f>(12-Table6[[#This Row],[Prąd 24V '[mA']]]/10000*Table6[[#This Row],[Opór uzwojeń '[U/1A']]])/(Table6[[#This Row],[RPM 24V]]*PI()/30)*1000</f>
        <v>#DIV/0!</v>
      </c>
      <c r="G70" s="4" t="e">
        <f>12/Table6[[#This Row],[Opór uzwojeń '[U/1A']]]</f>
        <v>#DIV/0!</v>
      </c>
      <c r="H70" s="5" t="e">
        <f>Table6[[#This Row],[Stała momentu '[Nm/mA']]]*(Table6[[#This Row],[Prąd w zwarciu 12V '[A']]]-Table6[[#This Row],[Prąd 24V '[mA']]]/1000)</f>
        <v>#DIV/0!</v>
      </c>
      <c r="I70" s="3" t="e">
        <f>$S$2*24/Table6[[#This Row],[RPM 24V]]</f>
        <v>#DIV/0!</v>
      </c>
      <c r="J70" s="4" t="e">
        <f>Table6[[#This Row],[Prąd w zwarciu 12V '[A']]]*Table6[[#This Row],[Napięcie (Dane RPM)]]/12</f>
        <v>#DIV/0!</v>
      </c>
      <c r="K70" s="4" t="e">
        <f>Table6[[#This Row],[Moment w zwarciu 12V '[Nm/A']]]*Table6[[#This Row],[Napięcie (Dane RPM)]]/12</f>
        <v>#DIV/0!</v>
      </c>
      <c r="L70" s="5" t="e">
        <f>Table6[[#This Row],[Moment w zwarciu 12V '[Nm/A']]]*Table6[[#This Row],[Napięcie (Dane RPM)]]/12/Table6[[#This Row],[Waga]]</f>
        <v>#DIV/0!</v>
      </c>
      <c r="M70" s="3">
        <f>Table6[[#This Row],[RPM 24V]]*$S$3/24</f>
        <v>0</v>
      </c>
      <c r="N70" s="4" t="e">
        <f>Table6[[#This Row],[Prąd w zwarciu 12V '[A']]]*$S$3/12</f>
        <v>#DIV/0!</v>
      </c>
      <c r="O70" s="7" t="e">
        <f>Table6[[#This Row],[Moment w zwarciu 12V '[Nm/A']]]*$S$3/12</f>
        <v>#DIV/0!</v>
      </c>
      <c r="P70" s="5" t="e">
        <f>Table6[[#This Row],[Moment w zwarciu 12V '[Nm/A']]]*$S$3/12/Table6[[#This Row],[Waga]]</f>
        <v>#DIV/0!</v>
      </c>
    </row>
    <row r="71" spans="6:16" ht="18" customHeight="1" x14ac:dyDescent="0.25">
      <c r="F71" s="3" t="e">
        <f>(12-Table6[[#This Row],[Prąd 24V '[mA']]]/10000*Table6[[#This Row],[Opór uzwojeń '[U/1A']]])/(Table6[[#This Row],[RPM 24V]]*PI()/30)*1000</f>
        <v>#DIV/0!</v>
      </c>
      <c r="G71" s="4" t="e">
        <f>12/Table6[[#This Row],[Opór uzwojeń '[U/1A']]]</f>
        <v>#DIV/0!</v>
      </c>
      <c r="H71" s="5" t="e">
        <f>Table6[[#This Row],[Stała momentu '[Nm/mA']]]*(Table6[[#This Row],[Prąd w zwarciu 12V '[A']]]-Table6[[#This Row],[Prąd 24V '[mA']]]/1000)</f>
        <v>#DIV/0!</v>
      </c>
      <c r="I71" s="3" t="e">
        <f>$S$2*24/Table6[[#This Row],[RPM 24V]]</f>
        <v>#DIV/0!</v>
      </c>
      <c r="J71" s="4" t="e">
        <f>Table6[[#This Row],[Prąd w zwarciu 12V '[A']]]*Table6[[#This Row],[Napięcie (Dane RPM)]]/12</f>
        <v>#DIV/0!</v>
      </c>
      <c r="K71" s="4" t="e">
        <f>Table6[[#This Row],[Moment w zwarciu 12V '[Nm/A']]]*Table6[[#This Row],[Napięcie (Dane RPM)]]/12</f>
        <v>#DIV/0!</v>
      </c>
      <c r="L71" s="5" t="e">
        <f>Table6[[#This Row],[Moment w zwarciu 12V '[Nm/A']]]*Table6[[#This Row],[Napięcie (Dane RPM)]]/12/Table6[[#This Row],[Waga]]</f>
        <v>#DIV/0!</v>
      </c>
      <c r="M71" s="3">
        <f>Table6[[#This Row],[RPM 24V]]*$S$3/24</f>
        <v>0</v>
      </c>
      <c r="N71" s="4" t="e">
        <f>Table6[[#This Row],[Prąd w zwarciu 12V '[A']]]*$S$3/12</f>
        <v>#DIV/0!</v>
      </c>
      <c r="O71" s="7" t="e">
        <f>Table6[[#This Row],[Moment w zwarciu 12V '[Nm/A']]]*$S$3/12</f>
        <v>#DIV/0!</v>
      </c>
      <c r="P71" s="5" t="e">
        <f>Table6[[#This Row],[Moment w zwarciu 12V '[Nm/A']]]*$S$3/12/Table6[[#This Row],[Waga]]</f>
        <v>#DIV/0!</v>
      </c>
    </row>
    <row r="72" spans="6:16" ht="18" customHeight="1" x14ac:dyDescent="0.25">
      <c r="F72" s="3" t="e">
        <f>(12-Table6[[#This Row],[Prąd 24V '[mA']]]/10000*Table6[[#This Row],[Opór uzwojeń '[U/1A']]])/(Table6[[#This Row],[RPM 24V]]*PI()/30)*1000</f>
        <v>#DIV/0!</v>
      </c>
      <c r="G72" s="4" t="e">
        <f>12/Table6[[#This Row],[Opór uzwojeń '[U/1A']]]</f>
        <v>#DIV/0!</v>
      </c>
      <c r="H72" s="5" t="e">
        <f>Table6[[#This Row],[Stała momentu '[Nm/mA']]]*(Table6[[#This Row],[Prąd w zwarciu 12V '[A']]]-Table6[[#This Row],[Prąd 24V '[mA']]]/1000)</f>
        <v>#DIV/0!</v>
      </c>
      <c r="I72" s="3" t="e">
        <f>$S$2*24/Table6[[#This Row],[RPM 24V]]</f>
        <v>#DIV/0!</v>
      </c>
      <c r="J72" s="4" t="e">
        <f>Table6[[#This Row],[Prąd w zwarciu 12V '[A']]]*Table6[[#This Row],[Napięcie (Dane RPM)]]/12</f>
        <v>#DIV/0!</v>
      </c>
      <c r="K72" s="4" t="e">
        <f>Table6[[#This Row],[Moment w zwarciu 12V '[Nm/A']]]*Table6[[#This Row],[Napięcie (Dane RPM)]]/12</f>
        <v>#DIV/0!</v>
      </c>
      <c r="L72" s="5" t="e">
        <f>Table6[[#This Row],[Moment w zwarciu 12V '[Nm/A']]]*Table6[[#This Row],[Napięcie (Dane RPM)]]/12/Table6[[#This Row],[Waga]]</f>
        <v>#DIV/0!</v>
      </c>
      <c r="M72" s="3">
        <f>Table6[[#This Row],[RPM 24V]]*$S$3/24</f>
        <v>0</v>
      </c>
      <c r="N72" s="4" t="e">
        <f>Table6[[#This Row],[Prąd w zwarciu 12V '[A']]]*$S$3/12</f>
        <v>#DIV/0!</v>
      </c>
      <c r="O72" s="7" t="e">
        <f>Table6[[#This Row],[Moment w zwarciu 12V '[Nm/A']]]*$S$3/12</f>
        <v>#DIV/0!</v>
      </c>
      <c r="P72" s="5" t="e">
        <f>Table6[[#This Row],[Moment w zwarciu 12V '[Nm/A']]]*$S$3/12/Table6[[#This Row],[Waga]]</f>
        <v>#DIV/0!</v>
      </c>
    </row>
    <row r="73" spans="6:16" ht="18" customHeight="1" x14ac:dyDescent="0.25">
      <c r="F73" s="3" t="e">
        <f>(12-Table6[[#This Row],[Prąd 24V '[mA']]]/10000*Table6[[#This Row],[Opór uzwojeń '[U/1A']]])/(Table6[[#This Row],[RPM 24V]]*PI()/30)*1000</f>
        <v>#DIV/0!</v>
      </c>
      <c r="G73" s="4" t="e">
        <f>12/Table6[[#This Row],[Opór uzwojeń '[U/1A']]]</f>
        <v>#DIV/0!</v>
      </c>
      <c r="H73" s="5" t="e">
        <f>Table6[[#This Row],[Stała momentu '[Nm/mA']]]*(Table6[[#This Row],[Prąd w zwarciu 12V '[A']]]-Table6[[#This Row],[Prąd 24V '[mA']]]/1000)</f>
        <v>#DIV/0!</v>
      </c>
      <c r="I73" s="3" t="e">
        <f>$S$2*24/Table6[[#This Row],[RPM 24V]]</f>
        <v>#DIV/0!</v>
      </c>
      <c r="J73" s="4" t="e">
        <f>Table6[[#This Row],[Prąd w zwarciu 12V '[A']]]*Table6[[#This Row],[Napięcie (Dane RPM)]]/12</f>
        <v>#DIV/0!</v>
      </c>
      <c r="K73" s="4" t="e">
        <f>Table6[[#This Row],[Moment w zwarciu 12V '[Nm/A']]]*Table6[[#This Row],[Napięcie (Dane RPM)]]/12</f>
        <v>#DIV/0!</v>
      </c>
      <c r="L73" s="5" t="e">
        <f>Table6[[#This Row],[Moment w zwarciu 12V '[Nm/A']]]*Table6[[#This Row],[Napięcie (Dane RPM)]]/12/Table6[[#This Row],[Waga]]</f>
        <v>#DIV/0!</v>
      </c>
      <c r="M73" s="3">
        <f>Table6[[#This Row],[RPM 24V]]*$S$3/24</f>
        <v>0</v>
      </c>
      <c r="N73" s="4" t="e">
        <f>Table6[[#This Row],[Prąd w zwarciu 12V '[A']]]*$S$3/12</f>
        <v>#DIV/0!</v>
      </c>
      <c r="O73" s="7" t="e">
        <f>Table6[[#This Row],[Moment w zwarciu 12V '[Nm/A']]]*$S$3/12</f>
        <v>#DIV/0!</v>
      </c>
      <c r="P73" s="5" t="e">
        <f>Table6[[#This Row],[Moment w zwarciu 12V '[Nm/A']]]*$S$3/12/Table6[[#This Row],[Waga]]</f>
        <v>#DIV/0!</v>
      </c>
    </row>
    <row r="74" spans="6:16" ht="18" customHeight="1" x14ac:dyDescent="0.25">
      <c r="F74" s="3" t="e">
        <f>(12-Table6[[#This Row],[Prąd 24V '[mA']]]/10000*Table6[[#This Row],[Opór uzwojeń '[U/1A']]])/(Table6[[#This Row],[RPM 24V]]*PI()/30)*1000</f>
        <v>#DIV/0!</v>
      </c>
      <c r="G74" s="4" t="e">
        <f>12/Table6[[#This Row],[Opór uzwojeń '[U/1A']]]</f>
        <v>#DIV/0!</v>
      </c>
      <c r="H74" s="5" t="e">
        <f>Table6[[#This Row],[Stała momentu '[Nm/mA']]]*(Table6[[#This Row],[Prąd w zwarciu 12V '[A']]]-Table6[[#This Row],[Prąd 24V '[mA']]]/1000)</f>
        <v>#DIV/0!</v>
      </c>
      <c r="I74" s="3" t="e">
        <f>$S$2*24/Table6[[#This Row],[RPM 24V]]</f>
        <v>#DIV/0!</v>
      </c>
      <c r="J74" s="4" t="e">
        <f>Table6[[#This Row],[Prąd w zwarciu 12V '[A']]]*Table6[[#This Row],[Napięcie (Dane RPM)]]/12</f>
        <v>#DIV/0!</v>
      </c>
      <c r="K74" s="4" t="e">
        <f>Table6[[#This Row],[Moment w zwarciu 12V '[Nm/A']]]*Table6[[#This Row],[Napięcie (Dane RPM)]]/12</f>
        <v>#DIV/0!</v>
      </c>
      <c r="L74" s="5" t="e">
        <f>Table6[[#This Row],[Moment w zwarciu 12V '[Nm/A']]]*Table6[[#This Row],[Napięcie (Dane RPM)]]/12/Table6[[#This Row],[Waga]]</f>
        <v>#DIV/0!</v>
      </c>
      <c r="M74" s="3">
        <f>Table6[[#This Row],[RPM 24V]]*$S$3/24</f>
        <v>0</v>
      </c>
      <c r="N74" s="4" t="e">
        <f>Table6[[#This Row],[Prąd w zwarciu 12V '[A']]]*$S$3/12</f>
        <v>#DIV/0!</v>
      </c>
      <c r="O74" s="7" t="e">
        <f>Table6[[#This Row],[Moment w zwarciu 12V '[Nm/A']]]*$S$3/12</f>
        <v>#DIV/0!</v>
      </c>
      <c r="P74" s="5" t="e">
        <f>Table6[[#This Row],[Moment w zwarciu 12V '[Nm/A']]]*$S$3/12/Table6[[#This Row],[Waga]]</f>
        <v>#DIV/0!</v>
      </c>
    </row>
    <row r="75" spans="6:16" ht="18" customHeight="1" x14ac:dyDescent="0.25">
      <c r="F75" s="3" t="e">
        <f>(12-Table6[[#This Row],[Prąd 24V '[mA']]]/10000*Table6[[#This Row],[Opór uzwojeń '[U/1A']]])/(Table6[[#This Row],[RPM 24V]]*PI()/30)*1000</f>
        <v>#DIV/0!</v>
      </c>
      <c r="G75" s="4" t="e">
        <f>12/Table6[[#This Row],[Opór uzwojeń '[U/1A']]]</f>
        <v>#DIV/0!</v>
      </c>
      <c r="H75" s="5" t="e">
        <f>Table6[[#This Row],[Stała momentu '[Nm/mA']]]*(Table6[[#This Row],[Prąd w zwarciu 12V '[A']]]-Table6[[#This Row],[Prąd 24V '[mA']]]/1000)</f>
        <v>#DIV/0!</v>
      </c>
      <c r="I75" s="3" t="e">
        <f>$S$2*24/Table6[[#This Row],[RPM 24V]]</f>
        <v>#DIV/0!</v>
      </c>
      <c r="J75" s="4" t="e">
        <f>Table6[[#This Row],[Prąd w zwarciu 12V '[A']]]*Table6[[#This Row],[Napięcie (Dane RPM)]]/12</f>
        <v>#DIV/0!</v>
      </c>
      <c r="K75" s="4" t="e">
        <f>Table6[[#This Row],[Moment w zwarciu 12V '[Nm/A']]]*Table6[[#This Row],[Napięcie (Dane RPM)]]/12</f>
        <v>#DIV/0!</v>
      </c>
      <c r="L75" s="5" t="e">
        <f>Table6[[#This Row],[Moment w zwarciu 12V '[Nm/A']]]*Table6[[#This Row],[Napięcie (Dane RPM)]]/12/Table6[[#This Row],[Waga]]</f>
        <v>#DIV/0!</v>
      </c>
      <c r="M75" s="3">
        <f>Table6[[#This Row],[RPM 24V]]*$S$3/24</f>
        <v>0</v>
      </c>
      <c r="N75" s="4" t="e">
        <f>Table6[[#This Row],[Prąd w zwarciu 12V '[A']]]*$S$3/12</f>
        <v>#DIV/0!</v>
      </c>
      <c r="O75" s="7" t="e">
        <f>Table6[[#This Row],[Moment w zwarciu 12V '[Nm/A']]]*$S$3/12</f>
        <v>#DIV/0!</v>
      </c>
      <c r="P75" s="5" t="e">
        <f>Table6[[#This Row],[Moment w zwarciu 12V '[Nm/A']]]*$S$3/12/Table6[[#This Row],[Waga]]</f>
        <v>#DIV/0!</v>
      </c>
    </row>
    <row r="76" spans="6:16" ht="18" customHeight="1" x14ac:dyDescent="0.25">
      <c r="F76" s="3" t="e">
        <f>(12-Table6[[#This Row],[Prąd 24V '[mA']]]/10000*Table6[[#This Row],[Opór uzwojeń '[U/1A']]])/(Table6[[#This Row],[RPM 24V]]*PI()/30)*1000</f>
        <v>#DIV/0!</v>
      </c>
      <c r="G76" s="4" t="e">
        <f>12/Table6[[#This Row],[Opór uzwojeń '[U/1A']]]</f>
        <v>#DIV/0!</v>
      </c>
      <c r="H76" s="5" t="e">
        <f>Table6[[#This Row],[Stała momentu '[Nm/mA']]]*(Table6[[#This Row],[Prąd w zwarciu 12V '[A']]]-Table6[[#This Row],[Prąd 24V '[mA']]]/1000)</f>
        <v>#DIV/0!</v>
      </c>
      <c r="I76" s="3" t="e">
        <f>$S$2*24/Table6[[#This Row],[RPM 24V]]</f>
        <v>#DIV/0!</v>
      </c>
      <c r="J76" s="4" t="e">
        <f>Table6[[#This Row],[Prąd w zwarciu 12V '[A']]]*Table6[[#This Row],[Napięcie (Dane RPM)]]/12</f>
        <v>#DIV/0!</v>
      </c>
      <c r="K76" s="4" t="e">
        <f>Table6[[#This Row],[Moment w zwarciu 12V '[Nm/A']]]*Table6[[#This Row],[Napięcie (Dane RPM)]]/12</f>
        <v>#DIV/0!</v>
      </c>
      <c r="L76" s="5" t="e">
        <f>Table6[[#This Row],[Moment w zwarciu 12V '[Nm/A']]]*Table6[[#This Row],[Napięcie (Dane RPM)]]/12/Table6[[#This Row],[Waga]]</f>
        <v>#DIV/0!</v>
      </c>
      <c r="M76" s="3">
        <f>Table6[[#This Row],[RPM 24V]]*$S$3/24</f>
        <v>0</v>
      </c>
      <c r="N76" s="4" t="e">
        <f>Table6[[#This Row],[Prąd w zwarciu 12V '[A']]]*$S$3/12</f>
        <v>#DIV/0!</v>
      </c>
      <c r="O76" s="7" t="e">
        <f>Table6[[#This Row],[Moment w zwarciu 12V '[Nm/A']]]*$S$3/12</f>
        <v>#DIV/0!</v>
      </c>
      <c r="P76" s="5" t="e">
        <f>Table6[[#This Row],[Moment w zwarciu 12V '[Nm/A']]]*$S$3/12/Table6[[#This Row],[Waga]]</f>
        <v>#DIV/0!</v>
      </c>
    </row>
    <row r="77" spans="6:16" ht="18" customHeight="1" x14ac:dyDescent="0.25">
      <c r="F77" s="3" t="e">
        <f>(12-Table6[[#This Row],[Prąd 24V '[mA']]]/10000*Table6[[#This Row],[Opór uzwojeń '[U/1A']]])/(Table6[[#This Row],[RPM 24V]]*PI()/30)*1000</f>
        <v>#DIV/0!</v>
      </c>
      <c r="G77" s="4" t="e">
        <f>12/Table6[[#This Row],[Opór uzwojeń '[U/1A']]]</f>
        <v>#DIV/0!</v>
      </c>
      <c r="H77" s="5" t="e">
        <f>Table6[[#This Row],[Stała momentu '[Nm/mA']]]*(Table6[[#This Row],[Prąd w zwarciu 12V '[A']]]-Table6[[#This Row],[Prąd 24V '[mA']]]/1000)</f>
        <v>#DIV/0!</v>
      </c>
      <c r="I77" s="3" t="e">
        <f>$S$2*24/Table6[[#This Row],[RPM 24V]]</f>
        <v>#DIV/0!</v>
      </c>
      <c r="J77" s="4" t="e">
        <f>Table6[[#This Row],[Prąd w zwarciu 12V '[A']]]*Table6[[#This Row],[Napięcie (Dane RPM)]]/12</f>
        <v>#DIV/0!</v>
      </c>
      <c r="K77" s="4" t="e">
        <f>Table6[[#This Row],[Moment w zwarciu 12V '[Nm/A']]]*Table6[[#This Row],[Napięcie (Dane RPM)]]/12</f>
        <v>#DIV/0!</v>
      </c>
      <c r="L77" s="5" t="e">
        <f>Table6[[#This Row],[Moment w zwarciu 12V '[Nm/A']]]*Table6[[#This Row],[Napięcie (Dane RPM)]]/12/Table6[[#This Row],[Waga]]</f>
        <v>#DIV/0!</v>
      </c>
      <c r="M77" s="3">
        <f>Table6[[#This Row],[RPM 24V]]*$S$3/24</f>
        <v>0</v>
      </c>
      <c r="N77" s="4" t="e">
        <f>Table6[[#This Row],[Prąd w zwarciu 12V '[A']]]*$S$3/12</f>
        <v>#DIV/0!</v>
      </c>
      <c r="O77" s="7" t="e">
        <f>Table6[[#This Row],[Moment w zwarciu 12V '[Nm/A']]]*$S$3/12</f>
        <v>#DIV/0!</v>
      </c>
      <c r="P77" s="5" t="e">
        <f>Table6[[#This Row],[Moment w zwarciu 12V '[Nm/A']]]*$S$3/12/Table6[[#This Row],[Waga]]</f>
        <v>#DIV/0!</v>
      </c>
    </row>
    <row r="78" spans="6:16" ht="18" customHeight="1" x14ac:dyDescent="0.25">
      <c r="F78" s="3" t="e">
        <f>(12-Table6[[#This Row],[Prąd 24V '[mA']]]/10000*Table6[[#This Row],[Opór uzwojeń '[U/1A']]])/(Table6[[#This Row],[RPM 24V]]*PI()/30)*1000</f>
        <v>#DIV/0!</v>
      </c>
      <c r="G78" s="4" t="e">
        <f>12/Table6[[#This Row],[Opór uzwojeń '[U/1A']]]</f>
        <v>#DIV/0!</v>
      </c>
      <c r="H78" s="5" t="e">
        <f>Table6[[#This Row],[Stała momentu '[Nm/mA']]]*(Table6[[#This Row],[Prąd w zwarciu 12V '[A']]]-Table6[[#This Row],[Prąd 24V '[mA']]]/1000)</f>
        <v>#DIV/0!</v>
      </c>
      <c r="I78" s="3" t="e">
        <f>$S$2*24/Table6[[#This Row],[RPM 24V]]</f>
        <v>#DIV/0!</v>
      </c>
      <c r="J78" s="4" t="e">
        <f>Table6[[#This Row],[Prąd w zwarciu 12V '[A']]]*Table6[[#This Row],[Napięcie (Dane RPM)]]/12</f>
        <v>#DIV/0!</v>
      </c>
      <c r="K78" s="4" t="e">
        <f>Table6[[#This Row],[Moment w zwarciu 12V '[Nm/A']]]*Table6[[#This Row],[Napięcie (Dane RPM)]]/12</f>
        <v>#DIV/0!</v>
      </c>
      <c r="L78" s="5" t="e">
        <f>Table6[[#This Row],[Moment w zwarciu 12V '[Nm/A']]]*Table6[[#This Row],[Napięcie (Dane RPM)]]/12/Table6[[#This Row],[Waga]]</f>
        <v>#DIV/0!</v>
      </c>
      <c r="M78" s="3">
        <f>Table6[[#This Row],[RPM 24V]]*$S$3/24</f>
        <v>0</v>
      </c>
      <c r="N78" s="4" t="e">
        <f>Table6[[#This Row],[Prąd w zwarciu 12V '[A']]]*$S$3/12</f>
        <v>#DIV/0!</v>
      </c>
      <c r="O78" s="7" t="e">
        <f>Table6[[#This Row],[Moment w zwarciu 12V '[Nm/A']]]*$S$3/12</f>
        <v>#DIV/0!</v>
      </c>
      <c r="P78" s="5" t="e">
        <f>Table6[[#This Row],[Moment w zwarciu 12V '[Nm/A']]]*$S$3/12/Table6[[#This Row],[Waga]]</f>
        <v>#DIV/0!</v>
      </c>
    </row>
    <row r="79" spans="6:16" ht="18" customHeight="1" x14ac:dyDescent="0.25">
      <c r="F79" s="3" t="e">
        <f>(12-Table6[[#This Row],[Prąd 24V '[mA']]]/10000*Table6[[#This Row],[Opór uzwojeń '[U/1A']]])/(Table6[[#This Row],[RPM 24V]]*PI()/30)*1000</f>
        <v>#DIV/0!</v>
      </c>
      <c r="G79" s="4" t="e">
        <f>12/Table6[[#This Row],[Opór uzwojeń '[U/1A']]]</f>
        <v>#DIV/0!</v>
      </c>
      <c r="H79" s="5" t="e">
        <f>Table6[[#This Row],[Stała momentu '[Nm/mA']]]*(Table6[[#This Row],[Prąd w zwarciu 12V '[A']]]-Table6[[#This Row],[Prąd 24V '[mA']]]/1000)</f>
        <v>#DIV/0!</v>
      </c>
      <c r="I79" s="3" t="e">
        <f>$S$2*24/Table6[[#This Row],[RPM 24V]]</f>
        <v>#DIV/0!</v>
      </c>
      <c r="J79" s="4" t="e">
        <f>Table6[[#This Row],[Prąd w zwarciu 12V '[A']]]*Table6[[#This Row],[Napięcie (Dane RPM)]]/12</f>
        <v>#DIV/0!</v>
      </c>
      <c r="K79" s="4" t="e">
        <f>Table6[[#This Row],[Moment w zwarciu 12V '[Nm/A']]]*Table6[[#This Row],[Napięcie (Dane RPM)]]/12</f>
        <v>#DIV/0!</v>
      </c>
      <c r="L79" s="5" t="e">
        <f>Table6[[#This Row],[Moment w zwarciu 12V '[Nm/A']]]*Table6[[#This Row],[Napięcie (Dane RPM)]]/12/Table6[[#This Row],[Waga]]</f>
        <v>#DIV/0!</v>
      </c>
      <c r="M79" s="3">
        <f>Table6[[#This Row],[RPM 24V]]*$S$3/24</f>
        <v>0</v>
      </c>
      <c r="N79" s="4" t="e">
        <f>Table6[[#This Row],[Prąd w zwarciu 12V '[A']]]*$S$3/12</f>
        <v>#DIV/0!</v>
      </c>
      <c r="O79" s="7" t="e">
        <f>Table6[[#This Row],[Moment w zwarciu 12V '[Nm/A']]]*$S$3/12</f>
        <v>#DIV/0!</v>
      </c>
      <c r="P79" s="5" t="e">
        <f>Table6[[#This Row],[Moment w zwarciu 12V '[Nm/A']]]*$S$3/12/Table6[[#This Row],[Waga]]</f>
        <v>#DIV/0!</v>
      </c>
    </row>
    <row r="80" spans="6:16" ht="18" customHeight="1" x14ac:dyDescent="0.25">
      <c r="F80" s="3" t="e">
        <f>(12-Table6[[#This Row],[Prąd 24V '[mA']]]/10000*Table6[[#This Row],[Opór uzwojeń '[U/1A']]])/(Table6[[#This Row],[RPM 24V]]*PI()/30)*1000</f>
        <v>#DIV/0!</v>
      </c>
      <c r="G80" s="4" t="e">
        <f>12/Table6[[#This Row],[Opór uzwojeń '[U/1A']]]</f>
        <v>#DIV/0!</v>
      </c>
      <c r="H80" s="5" t="e">
        <f>Table6[[#This Row],[Stała momentu '[Nm/mA']]]*(Table6[[#This Row],[Prąd w zwarciu 12V '[A']]]-Table6[[#This Row],[Prąd 24V '[mA']]]/1000)</f>
        <v>#DIV/0!</v>
      </c>
      <c r="I80" s="3" t="e">
        <f>$S$2*24/Table6[[#This Row],[RPM 24V]]</f>
        <v>#DIV/0!</v>
      </c>
      <c r="J80" s="4" t="e">
        <f>Table6[[#This Row],[Prąd w zwarciu 12V '[A']]]*Table6[[#This Row],[Napięcie (Dane RPM)]]/12</f>
        <v>#DIV/0!</v>
      </c>
      <c r="K80" s="4" t="e">
        <f>Table6[[#This Row],[Moment w zwarciu 12V '[Nm/A']]]*Table6[[#This Row],[Napięcie (Dane RPM)]]/12</f>
        <v>#DIV/0!</v>
      </c>
      <c r="L80" s="5" t="e">
        <f>Table6[[#This Row],[Moment w zwarciu 12V '[Nm/A']]]*Table6[[#This Row],[Napięcie (Dane RPM)]]/12/Table6[[#This Row],[Waga]]</f>
        <v>#DIV/0!</v>
      </c>
      <c r="M80" s="3">
        <f>Table6[[#This Row],[RPM 24V]]*$S$3/24</f>
        <v>0</v>
      </c>
      <c r="N80" s="4" t="e">
        <f>Table6[[#This Row],[Prąd w zwarciu 12V '[A']]]*$S$3/12</f>
        <v>#DIV/0!</v>
      </c>
      <c r="O80" s="7" t="e">
        <f>Table6[[#This Row],[Moment w zwarciu 12V '[Nm/A']]]*$S$3/12</f>
        <v>#DIV/0!</v>
      </c>
      <c r="P80" s="5" t="e">
        <f>Table6[[#This Row],[Moment w zwarciu 12V '[Nm/A']]]*$S$3/12/Table6[[#This Row],[Waga]]</f>
        <v>#DIV/0!</v>
      </c>
    </row>
    <row r="81" spans="6:16" ht="18" customHeight="1" x14ac:dyDescent="0.25">
      <c r="F81" s="3" t="e">
        <f>(12-Table6[[#This Row],[Prąd 24V '[mA']]]/10000*Table6[[#This Row],[Opór uzwojeń '[U/1A']]])/(Table6[[#This Row],[RPM 24V]]*PI()/30)*1000</f>
        <v>#DIV/0!</v>
      </c>
      <c r="G81" s="4" t="e">
        <f>12/Table6[[#This Row],[Opór uzwojeń '[U/1A']]]</f>
        <v>#DIV/0!</v>
      </c>
      <c r="H81" s="5" t="e">
        <f>Table6[[#This Row],[Stała momentu '[Nm/mA']]]*(Table6[[#This Row],[Prąd w zwarciu 12V '[A']]]-Table6[[#This Row],[Prąd 24V '[mA']]]/1000)</f>
        <v>#DIV/0!</v>
      </c>
      <c r="I81" s="3" t="e">
        <f>$S$2*24/Table6[[#This Row],[RPM 24V]]</f>
        <v>#DIV/0!</v>
      </c>
      <c r="J81" s="4" t="e">
        <f>Table6[[#This Row],[Prąd w zwarciu 12V '[A']]]*Table6[[#This Row],[Napięcie (Dane RPM)]]/12</f>
        <v>#DIV/0!</v>
      </c>
      <c r="K81" s="4" t="e">
        <f>Table6[[#This Row],[Moment w zwarciu 12V '[Nm/A']]]*Table6[[#This Row],[Napięcie (Dane RPM)]]/12</f>
        <v>#DIV/0!</v>
      </c>
      <c r="L81" s="5" t="e">
        <f>Table6[[#This Row],[Moment w zwarciu 12V '[Nm/A']]]*Table6[[#This Row],[Napięcie (Dane RPM)]]/12/Table6[[#This Row],[Waga]]</f>
        <v>#DIV/0!</v>
      </c>
      <c r="M81" s="3">
        <f>Table6[[#This Row],[RPM 24V]]*$S$3/24</f>
        <v>0</v>
      </c>
      <c r="N81" s="4" t="e">
        <f>Table6[[#This Row],[Prąd w zwarciu 12V '[A']]]*$S$3/12</f>
        <v>#DIV/0!</v>
      </c>
      <c r="O81" s="7" t="e">
        <f>Table6[[#This Row],[Moment w zwarciu 12V '[Nm/A']]]*$S$3/12</f>
        <v>#DIV/0!</v>
      </c>
      <c r="P81" s="5" t="e">
        <f>Table6[[#This Row],[Moment w zwarciu 12V '[Nm/A']]]*$S$3/12/Table6[[#This Row],[Waga]]</f>
        <v>#DIV/0!</v>
      </c>
    </row>
    <row r="82" spans="6:16" ht="18" customHeight="1" x14ac:dyDescent="0.25">
      <c r="F82" s="3" t="e">
        <f>(12-Table6[[#This Row],[Prąd 24V '[mA']]]/10000*Table6[[#This Row],[Opór uzwojeń '[U/1A']]])/(Table6[[#This Row],[RPM 24V]]*PI()/30)*1000</f>
        <v>#DIV/0!</v>
      </c>
      <c r="G82" s="4" t="e">
        <f>12/Table6[[#This Row],[Opór uzwojeń '[U/1A']]]</f>
        <v>#DIV/0!</v>
      </c>
      <c r="H82" s="5" t="e">
        <f>Table6[[#This Row],[Stała momentu '[Nm/mA']]]*(Table6[[#This Row],[Prąd w zwarciu 12V '[A']]]-Table6[[#This Row],[Prąd 24V '[mA']]]/1000)</f>
        <v>#DIV/0!</v>
      </c>
      <c r="I82" s="3" t="e">
        <f>$S$2*24/Table6[[#This Row],[RPM 24V]]</f>
        <v>#DIV/0!</v>
      </c>
      <c r="J82" s="4" t="e">
        <f>Table6[[#This Row],[Prąd w zwarciu 12V '[A']]]*Table6[[#This Row],[Napięcie (Dane RPM)]]/12</f>
        <v>#DIV/0!</v>
      </c>
      <c r="K82" s="4" t="e">
        <f>Table6[[#This Row],[Moment w zwarciu 12V '[Nm/A']]]*Table6[[#This Row],[Napięcie (Dane RPM)]]/12</f>
        <v>#DIV/0!</v>
      </c>
      <c r="L82" s="5" t="e">
        <f>Table6[[#This Row],[Moment w zwarciu 12V '[Nm/A']]]*Table6[[#This Row],[Napięcie (Dane RPM)]]/12/Table6[[#This Row],[Waga]]</f>
        <v>#DIV/0!</v>
      </c>
      <c r="M82" s="3">
        <f>Table6[[#This Row],[RPM 24V]]*$S$3/24</f>
        <v>0</v>
      </c>
      <c r="N82" s="4" t="e">
        <f>Table6[[#This Row],[Prąd w zwarciu 12V '[A']]]*$S$3/12</f>
        <v>#DIV/0!</v>
      </c>
      <c r="O82" s="7" t="e">
        <f>Table6[[#This Row],[Moment w zwarciu 12V '[Nm/A']]]*$S$3/12</f>
        <v>#DIV/0!</v>
      </c>
      <c r="P82" s="5" t="e">
        <f>Table6[[#This Row],[Moment w zwarciu 12V '[Nm/A']]]*$S$3/12/Table6[[#This Row],[Waga]]</f>
        <v>#DIV/0!</v>
      </c>
    </row>
    <row r="83" spans="6:16" ht="18" customHeight="1" x14ac:dyDescent="0.25">
      <c r="F83" s="3" t="e">
        <f>(12-Table6[[#This Row],[Prąd 24V '[mA']]]/10000*Table6[[#This Row],[Opór uzwojeń '[U/1A']]])/(Table6[[#This Row],[RPM 24V]]*PI()/30)*1000</f>
        <v>#DIV/0!</v>
      </c>
      <c r="G83" s="4" t="e">
        <f>12/Table6[[#This Row],[Opór uzwojeń '[U/1A']]]</f>
        <v>#DIV/0!</v>
      </c>
      <c r="H83" s="5" t="e">
        <f>Table6[[#This Row],[Stała momentu '[Nm/mA']]]*(Table6[[#This Row],[Prąd w zwarciu 12V '[A']]]-Table6[[#This Row],[Prąd 24V '[mA']]]/1000)</f>
        <v>#DIV/0!</v>
      </c>
      <c r="I83" s="3" t="e">
        <f>$S$2*24/Table6[[#This Row],[RPM 24V]]</f>
        <v>#DIV/0!</v>
      </c>
      <c r="J83" s="4" t="e">
        <f>Table6[[#This Row],[Prąd w zwarciu 12V '[A']]]*Table6[[#This Row],[Napięcie (Dane RPM)]]/12</f>
        <v>#DIV/0!</v>
      </c>
      <c r="K83" s="4" t="e">
        <f>Table6[[#This Row],[Moment w zwarciu 12V '[Nm/A']]]*Table6[[#This Row],[Napięcie (Dane RPM)]]/12</f>
        <v>#DIV/0!</v>
      </c>
      <c r="L83" s="5" t="e">
        <f>Table6[[#This Row],[Moment w zwarciu 12V '[Nm/A']]]*Table6[[#This Row],[Napięcie (Dane RPM)]]/12/Table6[[#This Row],[Waga]]</f>
        <v>#DIV/0!</v>
      </c>
      <c r="M83" s="3">
        <f>Table6[[#This Row],[RPM 24V]]*$S$3/24</f>
        <v>0</v>
      </c>
      <c r="N83" s="4" t="e">
        <f>Table6[[#This Row],[Prąd w zwarciu 12V '[A']]]*$S$3/12</f>
        <v>#DIV/0!</v>
      </c>
      <c r="O83" s="7" t="e">
        <f>Table6[[#This Row],[Moment w zwarciu 12V '[Nm/A']]]*$S$3/12</f>
        <v>#DIV/0!</v>
      </c>
      <c r="P83" s="5" t="e">
        <f>Table6[[#This Row],[Moment w zwarciu 12V '[Nm/A']]]*$S$3/12/Table6[[#This Row],[Waga]]</f>
        <v>#DIV/0!</v>
      </c>
    </row>
    <row r="84" spans="6:16" ht="18" customHeight="1" x14ac:dyDescent="0.25">
      <c r="F84" s="3" t="e">
        <f>(12-Table6[[#This Row],[Prąd 24V '[mA']]]/10000*Table6[[#This Row],[Opór uzwojeń '[U/1A']]])/(Table6[[#This Row],[RPM 24V]]*PI()/30)*1000</f>
        <v>#DIV/0!</v>
      </c>
      <c r="G84" s="4" t="e">
        <f>12/Table6[[#This Row],[Opór uzwojeń '[U/1A']]]</f>
        <v>#DIV/0!</v>
      </c>
      <c r="H84" s="5" t="e">
        <f>Table6[[#This Row],[Stała momentu '[Nm/mA']]]*(Table6[[#This Row],[Prąd w zwarciu 12V '[A']]]-Table6[[#This Row],[Prąd 24V '[mA']]]/1000)</f>
        <v>#DIV/0!</v>
      </c>
      <c r="I84" s="3" t="e">
        <f>$S$2*24/Table6[[#This Row],[RPM 24V]]</f>
        <v>#DIV/0!</v>
      </c>
      <c r="J84" s="4" t="e">
        <f>Table6[[#This Row],[Prąd w zwarciu 12V '[A']]]*Table6[[#This Row],[Napięcie (Dane RPM)]]/12</f>
        <v>#DIV/0!</v>
      </c>
      <c r="K84" s="4" t="e">
        <f>Table6[[#This Row],[Moment w zwarciu 12V '[Nm/A']]]*Table6[[#This Row],[Napięcie (Dane RPM)]]/12</f>
        <v>#DIV/0!</v>
      </c>
      <c r="L84" s="5" t="e">
        <f>Table6[[#This Row],[Moment w zwarciu 12V '[Nm/A']]]*Table6[[#This Row],[Napięcie (Dane RPM)]]/12/Table6[[#This Row],[Waga]]</f>
        <v>#DIV/0!</v>
      </c>
      <c r="M84" s="3">
        <f>Table6[[#This Row],[RPM 24V]]*$S$3/24</f>
        <v>0</v>
      </c>
      <c r="N84" s="4" t="e">
        <f>Table6[[#This Row],[Prąd w zwarciu 12V '[A']]]*$S$3/12</f>
        <v>#DIV/0!</v>
      </c>
      <c r="O84" s="7" t="e">
        <f>Table6[[#This Row],[Moment w zwarciu 12V '[Nm/A']]]*$S$3/12</f>
        <v>#DIV/0!</v>
      </c>
      <c r="P84" s="5" t="e">
        <f>Table6[[#This Row],[Moment w zwarciu 12V '[Nm/A']]]*$S$3/12/Table6[[#This Row],[Waga]]</f>
        <v>#DIV/0!</v>
      </c>
    </row>
    <row r="85" spans="6:16" ht="18" customHeight="1" x14ac:dyDescent="0.25">
      <c r="F85" s="3" t="e">
        <f>(12-Table6[[#This Row],[Prąd 24V '[mA']]]/10000*Table6[[#This Row],[Opór uzwojeń '[U/1A']]])/(Table6[[#This Row],[RPM 24V]]*PI()/30)*1000</f>
        <v>#DIV/0!</v>
      </c>
      <c r="G85" s="4" t="e">
        <f>12/Table6[[#This Row],[Opór uzwojeń '[U/1A']]]</f>
        <v>#DIV/0!</v>
      </c>
      <c r="H85" s="5" t="e">
        <f>Table6[[#This Row],[Stała momentu '[Nm/mA']]]*(Table6[[#This Row],[Prąd w zwarciu 12V '[A']]]-Table6[[#This Row],[Prąd 24V '[mA']]]/1000)</f>
        <v>#DIV/0!</v>
      </c>
      <c r="I85" s="3" t="e">
        <f>$S$2*24/Table6[[#This Row],[RPM 24V]]</f>
        <v>#DIV/0!</v>
      </c>
      <c r="J85" s="4" t="e">
        <f>Table6[[#This Row],[Prąd w zwarciu 12V '[A']]]*Table6[[#This Row],[Napięcie (Dane RPM)]]/12</f>
        <v>#DIV/0!</v>
      </c>
      <c r="K85" s="4" t="e">
        <f>Table6[[#This Row],[Moment w zwarciu 12V '[Nm/A']]]*Table6[[#This Row],[Napięcie (Dane RPM)]]/12</f>
        <v>#DIV/0!</v>
      </c>
      <c r="L85" s="5" t="e">
        <f>Table6[[#This Row],[Moment w zwarciu 12V '[Nm/A']]]*Table6[[#This Row],[Napięcie (Dane RPM)]]/12/Table6[[#This Row],[Waga]]</f>
        <v>#DIV/0!</v>
      </c>
      <c r="M85" s="3">
        <f>Table6[[#This Row],[RPM 24V]]*$S$3/24</f>
        <v>0</v>
      </c>
      <c r="N85" s="4" t="e">
        <f>Table6[[#This Row],[Prąd w zwarciu 12V '[A']]]*$S$3/12</f>
        <v>#DIV/0!</v>
      </c>
      <c r="O85" s="7" t="e">
        <f>Table6[[#This Row],[Moment w zwarciu 12V '[Nm/A']]]*$S$3/12</f>
        <v>#DIV/0!</v>
      </c>
      <c r="P85" s="5" t="e">
        <f>Table6[[#This Row],[Moment w zwarciu 12V '[Nm/A']]]*$S$3/12/Table6[[#This Row],[Waga]]</f>
        <v>#DIV/0!</v>
      </c>
    </row>
    <row r="86" spans="6:16" ht="18" customHeight="1" x14ac:dyDescent="0.25">
      <c r="F86" s="3" t="e">
        <f>(12-Table6[[#This Row],[Prąd 24V '[mA']]]/10000*Table6[[#This Row],[Opór uzwojeń '[U/1A']]])/(Table6[[#This Row],[RPM 24V]]*PI()/30)*1000</f>
        <v>#DIV/0!</v>
      </c>
      <c r="G86" s="4" t="e">
        <f>12/Table6[[#This Row],[Opór uzwojeń '[U/1A']]]</f>
        <v>#DIV/0!</v>
      </c>
      <c r="H86" s="5" t="e">
        <f>Table6[[#This Row],[Stała momentu '[Nm/mA']]]*(Table6[[#This Row],[Prąd w zwarciu 12V '[A']]]-Table6[[#This Row],[Prąd 24V '[mA']]]/1000)</f>
        <v>#DIV/0!</v>
      </c>
      <c r="I86" s="3" t="e">
        <f>$S$2*24/Table6[[#This Row],[RPM 24V]]</f>
        <v>#DIV/0!</v>
      </c>
      <c r="J86" s="4" t="e">
        <f>Table6[[#This Row],[Prąd w zwarciu 12V '[A']]]*Table6[[#This Row],[Napięcie (Dane RPM)]]/12</f>
        <v>#DIV/0!</v>
      </c>
      <c r="K86" s="4" t="e">
        <f>Table6[[#This Row],[Moment w zwarciu 12V '[Nm/A']]]*Table6[[#This Row],[Napięcie (Dane RPM)]]/12</f>
        <v>#DIV/0!</v>
      </c>
      <c r="L86" s="5" t="e">
        <f>Table6[[#This Row],[Moment w zwarciu 12V '[Nm/A']]]*Table6[[#This Row],[Napięcie (Dane RPM)]]/12/Table6[[#This Row],[Waga]]</f>
        <v>#DIV/0!</v>
      </c>
      <c r="M86" s="3">
        <f>Table6[[#This Row],[RPM 24V]]*$S$3/24</f>
        <v>0</v>
      </c>
      <c r="N86" s="4" t="e">
        <f>Table6[[#This Row],[Prąd w zwarciu 12V '[A']]]*$S$3/12</f>
        <v>#DIV/0!</v>
      </c>
      <c r="O86" s="7" t="e">
        <f>Table6[[#This Row],[Moment w zwarciu 12V '[Nm/A']]]*$S$3/12</f>
        <v>#DIV/0!</v>
      </c>
      <c r="P86" s="5" t="e">
        <f>Table6[[#This Row],[Moment w zwarciu 12V '[Nm/A']]]*$S$3/12/Table6[[#This Row],[Waga]]</f>
        <v>#DIV/0!</v>
      </c>
    </row>
    <row r="87" spans="6:16" ht="18" customHeight="1" x14ac:dyDescent="0.25">
      <c r="F87" s="3" t="e">
        <f>(12-Table6[[#This Row],[Prąd 24V '[mA']]]/10000*Table6[[#This Row],[Opór uzwojeń '[U/1A']]])/(Table6[[#This Row],[RPM 24V]]*PI()/30)*1000</f>
        <v>#DIV/0!</v>
      </c>
      <c r="G87" s="4" t="e">
        <f>12/Table6[[#This Row],[Opór uzwojeń '[U/1A']]]</f>
        <v>#DIV/0!</v>
      </c>
      <c r="H87" s="5" t="e">
        <f>Table6[[#This Row],[Stała momentu '[Nm/mA']]]*(Table6[[#This Row],[Prąd w zwarciu 12V '[A']]]-Table6[[#This Row],[Prąd 24V '[mA']]]/1000)</f>
        <v>#DIV/0!</v>
      </c>
      <c r="I87" s="3" t="e">
        <f>$S$2*24/Table6[[#This Row],[RPM 24V]]</f>
        <v>#DIV/0!</v>
      </c>
      <c r="J87" s="4" t="e">
        <f>Table6[[#This Row],[Prąd w zwarciu 12V '[A']]]*Table6[[#This Row],[Napięcie (Dane RPM)]]/12</f>
        <v>#DIV/0!</v>
      </c>
      <c r="K87" s="4" t="e">
        <f>Table6[[#This Row],[Moment w zwarciu 12V '[Nm/A']]]*Table6[[#This Row],[Napięcie (Dane RPM)]]/12</f>
        <v>#DIV/0!</v>
      </c>
      <c r="L87" s="5" t="e">
        <f>Table6[[#This Row],[Moment w zwarciu 12V '[Nm/A']]]*Table6[[#This Row],[Napięcie (Dane RPM)]]/12/Table6[[#This Row],[Waga]]</f>
        <v>#DIV/0!</v>
      </c>
      <c r="M87" s="3">
        <f>Table6[[#This Row],[RPM 24V]]*$S$3/24</f>
        <v>0</v>
      </c>
      <c r="N87" s="4" t="e">
        <f>Table6[[#This Row],[Prąd w zwarciu 12V '[A']]]*$S$3/12</f>
        <v>#DIV/0!</v>
      </c>
      <c r="O87" s="7" t="e">
        <f>Table6[[#This Row],[Moment w zwarciu 12V '[Nm/A']]]*$S$3/12</f>
        <v>#DIV/0!</v>
      </c>
      <c r="P87" s="5" t="e">
        <f>Table6[[#This Row],[Moment w zwarciu 12V '[Nm/A']]]*$S$3/12/Table6[[#This Row],[Waga]]</f>
        <v>#DIV/0!</v>
      </c>
    </row>
    <row r="88" spans="6:16" ht="18" customHeight="1" x14ac:dyDescent="0.25">
      <c r="F88" s="3" t="e">
        <f>(12-Table6[[#This Row],[Prąd 24V '[mA']]]/10000*Table6[[#This Row],[Opór uzwojeń '[U/1A']]])/(Table6[[#This Row],[RPM 24V]]*PI()/30)*1000</f>
        <v>#DIV/0!</v>
      </c>
      <c r="G88" s="4" t="e">
        <f>12/Table6[[#This Row],[Opór uzwojeń '[U/1A']]]</f>
        <v>#DIV/0!</v>
      </c>
      <c r="H88" s="5" t="e">
        <f>Table6[[#This Row],[Stała momentu '[Nm/mA']]]*(Table6[[#This Row],[Prąd w zwarciu 12V '[A']]]-Table6[[#This Row],[Prąd 24V '[mA']]]/1000)</f>
        <v>#DIV/0!</v>
      </c>
      <c r="I88" s="3" t="e">
        <f>$S$2*24/Table6[[#This Row],[RPM 24V]]</f>
        <v>#DIV/0!</v>
      </c>
      <c r="J88" s="4" t="e">
        <f>Table6[[#This Row],[Prąd w zwarciu 12V '[A']]]*Table6[[#This Row],[Napięcie (Dane RPM)]]/12</f>
        <v>#DIV/0!</v>
      </c>
      <c r="K88" s="4" t="e">
        <f>Table6[[#This Row],[Moment w zwarciu 12V '[Nm/A']]]*Table6[[#This Row],[Napięcie (Dane RPM)]]/12</f>
        <v>#DIV/0!</v>
      </c>
      <c r="L88" s="5" t="e">
        <f>Table6[[#This Row],[Moment w zwarciu 12V '[Nm/A']]]*Table6[[#This Row],[Napięcie (Dane RPM)]]/12/Table6[[#This Row],[Waga]]</f>
        <v>#DIV/0!</v>
      </c>
      <c r="M88" s="3">
        <f>Table6[[#This Row],[RPM 24V]]*$S$3/24</f>
        <v>0</v>
      </c>
      <c r="N88" s="4" t="e">
        <f>Table6[[#This Row],[Prąd w zwarciu 12V '[A']]]*$S$3/12</f>
        <v>#DIV/0!</v>
      </c>
      <c r="O88" s="7" t="e">
        <f>Table6[[#This Row],[Moment w zwarciu 12V '[Nm/A']]]*$S$3/12</f>
        <v>#DIV/0!</v>
      </c>
      <c r="P88" s="5" t="e">
        <f>Table6[[#This Row],[Moment w zwarciu 12V '[Nm/A']]]*$S$3/12/Table6[[#This Row],[Waga]]</f>
        <v>#DIV/0!</v>
      </c>
    </row>
    <row r="89" spans="6:16" ht="18" customHeight="1" x14ac:dyDescent="0.25">
      <c r="F89" s="3" t="e">
        <f>(12-Table6[[#This Row],[Prąd 24V '[mA']]]/10000*Table6[[#This Row],[Opór uzwojeń '[U/1A']]])/(Table6[[#This Row],[RPM 24V]]*PI()/30)*1000</f>
        <v>#DIV/0!</v>
      </c>
      <c r="G89" s="4" t="e">
        <f>12/Table6[[#This Row],[Opór uzwojeń '[U/1A']]]</f>
        <v>#DIV/0!</v>
      </c>
      <c r="H89" s="5" t="e">
        <f>Table6[[#This Row],[Stała momentu '[Nm/mA']]]*(Table6[[#This Row],[Prąd w zwarciu 12V '[A']]]-Table6[[#This Row],[Prąd 24V '[mA']]]/1000)</f>
        <v>#DIV/0!</v>
      </c>
      <c r="I89" s="3" t="e">
        <f>$S$2*24/Table6[[#This Row],[RPM 24V]]</f>
        <v>#DIV/0!</v>
      </c>
      <c r="J89" s="4" t="e">
        <f>Table6[[#This Row],[Prąd w zwarciu 12V '[A']]]*Table6[[#This Row],[Napięcie (Dane RPM)]]/12</f>
        <v>#DIV/0!</v>
      </c>
      <c r="K89" s="4" t="e">
        <f>Table6[[#This Row],[Moment w zwarciu 12V '[Nm/A']]]*Table6[[#This Row],[Napięcie (Dane RPM)]]/12</f>
        <v>#DIV/0!</v>
      </c>
      <c r="L89" s="5" t="e">
        <f>Table6[[#This Row],[Moment w zwarciu 12V '[Nm/A']]]*Table6[[#This Row],[Napięcie (Dane RPM)]]/12/Table6[[#This Row],[Waga]]</f>
        <v>#DIV/0!</v>
      </c>
      <c r="M89" s="3">
        <f>Table6[[#This Row],[RPM 24V]]*$S$3/24</f>
        <v>0</v>
      </c>
      <c r="N89" s="4" t="e">
        <f>Table6[[#This Row],[Prąd w zwarciu 12V '[A']]]*$S$3/12</f>
        <v>#DIV/0!</v>
      </c>
      <c r="O89" s="7" t="e">
        <f>Table6[[#This Row],[Moment w zwarciu 12V '[Nm/A']]]*$S$3/12</f>
        <v>#DIV/0!</v>
      </c>
      <c r="P89" s="5" t="e">
        <f>Table6[[#This Row],[Moment w zwarciu 12V '[Nm/A']]]*$S$3/12/Table6[[#This Row],[Waga]]</f>
        <v>#DIV/0!</v>
      </c>
    </row>
    <row r="90" spans="6:16" ht="18" customHeight="1" x14ac:dyDescent="0.25">
      <c r="F90" s="3" t="e">
        <f>(12-Table6[[#This Row],[Prąd 24V '[mA']]]/10000*Table6[[#This Row],[Opór uzwojeń '[U/1A']]])/(Table6[[#This Row],[RPM 24V]]*PI()/30)*1000</f>
        <v>#DIV/0!</v>
      </c>
      <c r="G90" s="4" t="e">
        <f>12/Table6[[#This Row],[Opór uzwojeń '[U/1A']]]</f>
        <v>#DIV/0!</v>
      </c>
      <c r="H90" s="5" t="e">
        <f>Table6[[#This Row],[Stała momentu '[Nm/mA']]]*(Table6[[#This Row],[Prąd w zwarciu 12V '[A']]]-Table6[[#This Row],[Prąd 24V '[mA']]]/1000)</f>
        <v>#DIV/0!</v>
      </c>
      <c r="I90" s="3" t="e">
        <f>$S$2*24/Table6[[#This Row],[RPM 24V]]</f>
        <v>#DIV/0!</v>
      </c>
      <c r="J90" s="4" t="e">
        <f>Table6[[#This Row],[Prąd w zwarciu 12V '[A']]]*Table6[[#This Row],[Napięcie (Dane RPM)]]/12</f>
        <v>#DIV/0!</v>
      </c>
      <c r="K90" s="4" t="e">
        <f>Table6[[#This Row],[Moment w zwarciu 12V '[Nm/A']]]*Table6[[#This Row],[Napięcie (Dane RPM)]]/12</f>
        <v>#DIV/0!</v>
      </c>
      <c r="L90" s="5" t="e">
        <f>Table6[[#This Row],[Moment w zwarciu 12V '[Nm/A']]]*Table6[[#This Row],[Napięcie (Dane RPM)]]/12/Table6[[#This Row],[Waga]]</f>
        <v>#DIV/0!</v>
      </c>
      <c r="M90" s="3">
        <f>Table6[[#This Row],[RPM 24V]]*$S$3/24</f>
        <v>0</v>
      </c>
      <c r="N90" s="4" t="e">
        <f>Table6[[#This Row],[Prąd w zwarciu 12V '[A']]]*$S$3/12</f>
        <v>#DIV/0!</v>
      </c>
      <c r="O90" s="7" t="e">
        <f>Table6[[#This Row],[Moment w zwarciu 12V '[Nm/A']]]*$S$3/12</f>
        <v>#DIV/0!</v>
      </c>
      <c r="P90" s="5" t="e">
        <f>Table6[[#This Row],[Moment w zwarciu 12V '[Nm/A']]]*$S$3/12/Table6[[#This Row],[Waga]]</f>
        <v>#DIV/0!</v>
      </c>
    </row>
    <row r="91" spans="6:16" ht="18" customHeight="1" x14ac:dyDescent="0.25">
      <c r="F91" s="3" t="e">
        <f>(12-Table6[[#This Row],[Prąd 24V '[mA']]]/10000*Table6[[#This Row],[Opór uzwojeń '[U/1A']]])/(Table6[[#This Row],[RPM 24V]]*PI()/30)*1000</f>
        <v>#DIV/0!</v>
      </c>
      <c r="G91" s="4" t="e">
        <f>12/Table6[[#This Row],[Opór uzwojeń '[U/1A']]]</f>
        <v>#DIV/0!</v>
      </c>
      <c r="H91" s="5" t="e">
        <f>Table6[[#This Row],[Stała momentu '[Nm/mA']]]*(Table6[[#This Row],[Prąd w zwarciu 12V '[A']]]-Table6[[#This Row],[Prąd 24V '[mA']]]/1000)</f>
        <v>#DIV/0!</v>
      </c>
      <c r="I91" s="3" t="e">
        <f>$S$2*24/Table6[[#This Row],[RPM 24V]]</f>
        <v>#DIV/0!</v>
      </c>
      <c r="J91" s="4" t="e">
        <f>Table6[[#This Row],[Prąd w zwarciu 12V '[A']]]*Table6[[#This Row],[Napięcie (Dane RPM)]]/12</f>
        <v>#DIV/0!</v>
      </c>
      <c r="K91" s="4" t="e">
        <f>Table6[[#This Row],[Moment w zwarciu 12V '[Nm/A']]]*Table6[[#This Row],[Napięcie (Dane RPM)]]/12</f>
        <v>#DIV/0!</v>
      </c>
      <c r="L91" s="5" t="e">
        <f>Table6[[#This Row],[Moment w zwarciu 12V '[Nm/A']]]*Table6[[#This Row],[Napięcie (Dane RPM)]]/12/Table6[[#This Row],[Waga]]</f>
        <v>#DIV/0!</v>
      </c>
      <c r="M91" s="3">
        <f>Table6[[#This Row],[RPM 24V]]*$S$3/24</f>
        <v>0</v>
      </c>
      <c r="N91" s="4" t="e">
        <f>Table6[[#This Row],[Prąd w zwarciu 12V '[A']]]*$S$3/12</f>
        <v>#DIV/0!</v>
      </c>
      <c r="O91" s="7" t="e">
        <f>Table6[[#This Row],[Moment w zwarciu 12V '[Nm/A']]]*$S$3/12</f>
        <v>#DIV/0!</v>
      </c>
      <c r="P91" s="5" t="e">
        <f>Table6[[#This Row],[Moment w zwarciu 12V '[Nm/A']]]*$S$3/12/Table6[[#This Row],[Waga]]</f>
        <v>#DIV/0!</v>
      </c>
    </row>
    <row r="92" spans="6:16" ht="18" customHeight="1" x14ac:dyDescent="0.25">
      <c r="F92" s="3" t="e">
        <f>(12-Table6[[#This Row],[Prąd 24V '[mA']]]/10000*Table6[[#This Row],[Opór uzwojeń '[U/1A']]])/(Table6[[#This Row],[RPM 24V]]*PI()/30)*1000</f>
        <v>#DIV/0!</v>
      </c>
      <c r="G92" s="4" t="e">
        <f>12/Table6[[#This Row],[Opór uzwojeń '[U/1A']]]</f>
        <v>#DIV/0!</v>
      </c>
      <c r="H92" s="5" t="e">
        <f>Table6[[#This Row],[Stała momentu '[Nm/mA']]]*(Table6[[#This Row],[Prąd w zwarciu 12V '[A']]]-Table6[[#This Row],[Prąd 24V '[mA']]]/1000)</f>
        <v>#DIV/0!</v>
      </c>
      <c r="I92" s="3" t="e">
        <f>$S$2*24/Table6[[#This Row],[RPM 24V]]</f>
        <v>#DIV/0!</v>
      </c>
      <c r="J92" s="4" t="e">
        <f>Table6[[#This Row],[Prąd w zwarciu 12V '[A']]]*Table6[[#This Row],[Napięcie (Dane RPM)]]/12</f>
        <v>#DIV/0!</v>
      </c>
      <c r="K92" s="4" t="e">
        <f>Table6[[#This Row],[Moment w zwarciu 12V '[Nm/A']]]*Table6[[#This Row],[Napięcie (Dane RPM)]]/12</f>
        <v>#DIV/0!</v>
      </c>
      <c r="L92" s="5" t="e">
        <f>Table6[[#This Row],[Moment w zwarciu 12V '[Nm/A']]]*Table6[[#This Row],[Napięcie (Dane RPM)]]/12/Table6[[#This Row],[Waga]]</f>
        <v>#DIV/0!</v>
      </c>
      <c r="M92" s="3">
        <f>Table6[[#This Row],[RPM 24V]]*$S$3/24</f>
        <v>0</v>
      </c>
      <c r="N92" s="4" t="e">
        <f>Table6[[#This Row],[Prąd w zwarciu 12V '[A']]]*$S$3/12</f>
        <v>#DIV/0!</v>
      </c>
      <c r="O92" s="7" t="e">
        <f>Table6[[#This Row],[Moment w zwarciu 12V '[Nm/A']]]*$S$3/12</f>
        <v>#DIV/0!</v>
      </c>
      <c r="P92" s="5" t="e">
        <f>Table6[[#This Row],[Moment w zwarciu 12V '[Nm/A']]]*$S$3/12/Table6[[#This Row],[Waga]]</f>
        <v>#DIV/0!</v>
      </c>
    </row>
    <row r="93" spans="6:16" ht="18" customHeight="1" x14ac:dyDescent="0.25">
      <c r="F93" s="3" t="e">
        <f>(12-Table6[[#This Row],[Prąd 24V '[mA']]]/10000*Table6[[#This Row],[Opór uzwojeń '[U/1A']]])/(Table6[[#This Row],[RPM 24V]]*PI()/30)*1000</f>
        <v>#DIV/0!</v>
      </c>
      <c r="G93" s="4" t="e">
        <f>12/Table6[[#This Row],[Opór uzwojeń '[U/1A']]]</f>
        <v>#DIV/0!</v>
      </c>
      <c r="H93" s="5" t="e">
        <f>Table6[[#This Row],[Stała momentu '[Nm/mA']]]*(Table6[[#This Row],[Prąd w zwarciu 12V '[A']]]-Table6[[#This Row],[Prąd 24V '[mA']]]/1000)</f>
        <v>#DIV/0!</v>
      </c>
      <c r="I93" s="3" t="e">
        <f>$S$2*24/Table6[[#This Row],[RPM 24V]]</f>
        <v>#DIV/0!</v>
      </c>
      <c r="J93" s="4" t="e">
        <f>Table6[[#This Row],[Prąd w zwarciu 12V '[A']]]*Table6[[#This Row],[Napięcie (Dane RPM)]]/12</f>
        <v>#DIV/0!</v>
      </c>
      <c r="K93" s="4" t="e">
        <f>Table6[[#This Row],[Moment w zwarciu 12V '[Nm/A']]]*Table6[[#This Row],[Napięcie (Dane RPM)]]/12</f>
        <v>#DIV/0!</v>
      </c>
      <c r="L93" s="5" t="e">
        <f>Table6[[#This Row],[Moment w zwarciu 12V '[Nm/A']]]*Table6[[#This Row],[Napięcie (Dane RPM)]]/12/Table6[[#This Row],[Waga]]</f>
        <v>#DIV/0!</v>
      </c>
      <c r="M93" s="3">
        <f>Table6[[#This Row],[RPM 24V]]*$S$3/24</f>
        <v>0</v>
      </c>
      <c r="N93" s="4" t="e">
        <f>Table6[[#This Row],[Prąd w zwarciu 12V '[A']]]*$S$3/12</f>
        <v>#DIV/0!</v>
      </c>
      <c r="O93" s="7" t="e">
        <f>Table6[[#This Row],[Moment w zwarciu 12V '[Nm/A']]]*$S$3/12</f>
        <v>#DIV/0!</v>
      </c>
      <c r="P93" s="5" t="e">
        <f>Table6[[#This Row],[Moment w zwarciu 12V '[Nm/A']]]*$S$3/12/Table6[[#This Row],[Waga]]</f>
        <v>#DIV/0!</v>
      </c>
    </row>
    <row r="94" spans="6:16" ht="18" customHeight="1" x14ac:dyDescent="0.25">
      <c r="F94" s="3" t="e">
        <f>(12-Table6[[#This Row],[Prąd 24V '[mA']]]/10000*Table6[[#This Row],[Opór uzwojeń '[U/1A']]])/(Table6[[#This Row],[RPM 24V]]*PI()/30)*1000</f>
        <v>#DIV/0!</v>
      </c>
      <c r="G94" s="4" t="e">
        <f>12/Table6[[#This Row],[Opór uzwojeń '[U/1A']]]</f>
        <v>#DIV/0!</v>
      </c>
      <c r="H94" s="5" t="e">
        <f>Table6[[#This Row],[Stała momentu '[Nm/mA']]]*(Table6[[#This Row],[Prąd w zwarciu 12V '[A']]]-Table6[[#This Row],[Prąd 24V '[mA']]]/1000)</f>
        <v>#DIV/0!</v>
      </c>
      <c r="I94" s="3" t="e">
        <f>$S$2*24/Table6[[#This Row],[RPM 24V]]</f>
        <v>#DIV/0!</v>
      </c>
      <c r="J94" s="4" t="e">
        <f>Table6[[#This Row],[Prąd w zwarciu 12V '[A']]]*Table6[[#This Row],[Napięcie (Dane RPM)]]/12</f>
        <v>#DIV/0!</v>
      </c>
      <c r="K94" s="4" t="e">
        <f>Table6[[#This Row],[Moment w zwarciu 12V '[Nm/A']]]*Table6[[#This Row],[Napięcie (Dane RPM)]]/12</f>
        <v>#DIV/0!</v>
      </c>
      <c r="L94" s="5" t="e">
        <f>Table6[[#This Row],[Moment w zwarciu 12V '[Nm/A']]]*Table6[[#This Row],[Napięcie (Dane RPM)]]/12/Table6[[#This Row],[Waga]]</f>
        <v>#DIV/0!</v>
      </c>
      <c r="M94" s="3">
        <f>Table6[[#This Row],[RPM 24V]]*$S$3/24</f>
        <v>0</v>
      </c>
      <c r="N94" s="4" t="e">
        <f>Table6[[#This Row],[Prąd w zwarciu 12V '[A']]]*$S$3/12</f>
        <v>#DIV/0!</v>
      </c>
      <c r="O94" s="7" t="e">
        <f>Table6[[#This Row],[Moment w zwarciu 12V '[Nm/A']]]*$S$3/12</f>
        <v>#DIV/0!</v>
      </c>
      <c r="P94" s="5" t="e">
        <f>Table6[[#This Row],[Moment w zwarciu 12V '[Nm/A']]]*$S$3/12/Table6[[#This Row],[Waga]]</f>
        <v>#DIV/0!</v>
      </c>
    </row>
    <row r="95" spans="6:16" ht="18" customHeight="1" x14ac:dyDescent="0.25">
      <c r="F95" s="3" t="e">
        <f>(12-Table6[[#This Row],[Prąd 24V '[mA']]]/10000*Table6[[#This Row],[Opór uzwojeń '[U/1A']]])/(Table6[[#This Row],[RPM 24V]]*PI()/30)*1000</f>
        <v>#DIV/0!</v>
      </c>
      <c r="G95" s="4" t="e">
        <f>12/Table6[[#This Row],[Opór uzwojeń '[U/1A']]]</f>
        <v>#DIV/0!</v>
      </c>
      <c r="H95" s="5" t="e">
        <f>Table6[[#This Row],[Stała momentu '[Nm/mA']]]*(Table6[[#This Row],[Prąd w zwarciu 12V '[A']]]-Table6[[#This Row],[Prąd 24V '[mA']]]/1000)</f>
        <v>#DIV/0!</v>
      </c>
      <c r="I95" s="3" t="e">
        <f>$S$2*24/Table6[[#This Row],[RPM 24V]]</f>
        <v>#DIV/0!</v>
      </c>
      <c r="J95" s="4" t="e">
        <f>Table6[[#This Row],[Prąd w zwarciu 12V '[A']]]*Table6[[#This Row],[Napięcie (Dane RPM)]]/12</f>
        <v>#DIV/0!</v>
      </c>
      <c r="K95" s="4" t="e">
        <f>Table6[[#This Row],[Moment w zwarciu 12V '[Nm/A']]]*Table6[[#This Row],[Napięcie (Dane RPM)]]/12</f>
        <v>#DIV/0!</v>
      </c>
      <c r="L95" s="5" t="e">
        <f>Table6[[#This Row],[Moment w zwarciu 12V '[Nm/A']]]*Table6[[#This Row],[Napięcie (Dane RPM)]]/12/Table6[[#This Row],[Waga]]</f>
        <v>#DIV/0!</v>
      </c>
      <c r="M95" s="3">
        <f>Table6[[#This Row],[RPM 24V]]*$S$3/24</f>
        <v>0</v>
      </c>
      <c r="N95" s="4" t="e">
        <f>Table6[[#This Row],[Prąd w zwarciu 12V '[A']]]*$S$3/12</f>
        <v>#DIV/0!</v>
      </c>
      <c r="O95" s="7" t="e">
        <f>Table6[[#This Row],[Moment w zwarciu 12V '[Nm/A']]]*$S$3/12</f>
        <v>#DIV/0!</v>
      </c>
      <c r="P95" s="5" t="e">
        <f>Table6[[#This Row],[Moment w zwarciu 12V '[Nm/A']]]*$S$3/12/Table6[[#This Row],[Waga]]</f>
        <v>#DIV/0!</v>
      </c>
    </row>
    <row r="96" spans="6:16" ht="18" customHeight="1" x14ac:dyDescent="0.25">
      <c r="F96" s="3" t="e">
        <f>(12-Table6[[#This Row],[Prąd 24V '[mA']]]/10000*Table6[[#This Row],[Opór uzwojeń '[U/1A']]])/(Table6[[#This Row],[RPM 24V]]*PI()/30)*1000</f>
        <v>#DIV/0!</v>
      </c>
      <c r="G96" s="4" t="e">
        <f>12/Table6[[#This Row],[Opór uzwojeń '[U/1A']]]</f>
        <v>#DIV/0!</v>
      </c>
      <c r="H96" s="5" t="e">
        <f>Table6[[#This Row],[Stała momentu '[Nm/mA']]]*(Table6[[#This Row],[Prąd w zwarciu 12V '[A']]]-Table6[[#This Row],[Prąd 24V '[mA']]]/1000)</f>
        <v>#DIV/0!</v>
      </c>
      <c r="I96" s="3" t="e">
        <f>$S$2*24/Table6[[#This Row],[RPM 24V]]</f>
        <v>#DIV/0!</v>
      </c>
      <c r="J96" s="4" t="e">
        <f>Table6[[#This Row],[Prąd w zwarciu 12V '[A']]]*Table6[[#This Row],[Napięcie (Dane RPM)]]/12</f>
        <v>#DIV/0!</v>
      </c>
      <c r="K96" s="4" t="e">
        <f>Table6[[#This Row],[Moment w zwarciu 12V '[Nm/A']]]*Table6[[#This Row],[Napięcie (Dane RPM)]]/12</f>
        <v>#DIV/0!</v>
      </c>
      <c r="L96" s="5" t="e">
        <f>Table6[[#This Row],[Moment w zwarciu 12V '[Nm/A']]]*Table6[[#This Row],[Napięcie (Dane RPM)]]/12/Table6[[#This Row],[Waga]]</f>
        <v>#DIV/0!</v>
      </c>
      <c r="M96" s="3">
        <f>Table6[[#This Row],[RPM 24V]]*$S$3/24</f>
        <v>0</v>
      </c>
      <c r="N96" s="4" t="e">
        <f>Table6[[#This Row],[Prąd w zwarciu 12V '[A']]]*$S$3/12</f>
        <v>#DIV/0!</v>
      </c>
      <c r="O96" s="7" t="e">
        <f>Table6[[#This Row],[Moment w zwarciu 12V '[Nm/A']]]*$S$3/12</f>
        <v>#DIV/0!</v>
      </c>
      <c r="P96" s="5" t="e">
        <f>Table6[[#This Row],[Moment w zwarciu 12V '[Nm/A']]]*$S$3/12/Table6[[#This Row],[Waga]]</f>
        <v>#DIV/0!</v>
      </c>
    </row>
    <row r="97" spans="6:16" ht="18" customHeight="1" x14ac:dyDescent="0.25">
      <c r="F97" s="3" t="e">
        <f>(12-Table6[[#This Row],[Prąd 24V '[mA']]]/10000*Table6[[#This Row],[Opór uzwojeń '[U/1A']]])/(Table6[[#This Row],[RPM 24V]]*PI()/30)*1000</f>
        <v>#DIV/0!</v>
      </c>
      <c r="G97" s="4" t="e">
        <f>12/Table6[[#This Row],[Opór uzwojeń '[U/1A']]]</f>
        <v>#DIV/0!</v>
      </c>
      <c r="H97" s="5" t="e">
        <f>Table6[[#This Row],[Stała momentu '[Nm/mA']]]*(Table6[[#This Row],[Prąd w zwarciu 12V '[A']]]-Table6[[#This Row],[Prąd 24V '[mA']]]/1000)</f>
        <v>#DIV/0!</v>
      </c>
      <c r="I97" s="3" t="e">
        <f>$S$2*24/Table6[[#This Row],[RPM 24V]]</f>
        <v>#DIV/0!</v>
      </c>
      <c r="J97" s="4" t="e">
        <f>Table6[[#This Row],[Prąd w zwarciu 12V '[A']]]*Table6[[#This Row],[Napięcie (Dane RPM)]]/12</f>
        <v>#DIV/0!</v>
      </c>
      <c r="K97" s="4" t="e">
        <f>Table6[[#This Row],[Moment w zwarciu 12V '[Nm/A']]]*Table6[[#This Row],[Napięcie (Dane RPM)]]/12</f>
        <v>#DIV/0!</v>
      </c>
      <c r="L97" s="5" t="e">
        <f>Table6[[#This Row],[Moment w zwarciu 12V '[Nm/A']]]*Table6[[#This Row],[Napięcie (Dane RPM)]]/12/Table6[[#This Row],[Waga]]</f>
        <v>#DIV/0!</v>
      </c>
      <c r="M97" s="3">
        <f>Table6[[#This Row],[RPM 24V]]*$S$3/24</f>
        <v>0</v>
      </c>
      <c r="N97" s="4" t="e">
        <f>Table6[[#This Row],[Prąd w zwarciu 12V '[A']]]*$S$3/12</f>
        <v>#DIV/0!</v>
      </c>
      <c r="O97" s="7" t="e">
        <f>Table6[[#This Row],[Moment w zwarciu 12V '[Nm/A']]]*$S$3/12</f>
        <v>#DIV/0!</v>
      </c>
      <c r="P97" s="5" t="e">
        <f>Table6[[#This Row],[Moment w zwarciu 12V '[Nm/A']]]*$S$3/12/Table6[[#This Row],[Waga]]</f>
        <v>#DIV/0!</v>
      </c>
    </row>
    <row r="98" spans="6:16" ht="18" customHeight="1" x14ac:dyDescent="0.25">
      <c r="F98" s="3" t="e">
        <f>(12-Table6[[#This Row],[Prąd 24V '[mA']]]/10000*Table6[[#This Row],[Opór uzwojeń '[U/1A']]])/(Table6[[#This Row],[RPM 24V]]*PI()/30)*1000</f>
        <v>#DIV/0!</v>
      </c>
      <c r="G98" s="4" t="e">
        <f>12/Table6[[#This Row],[Opór uzwojeń '[U/1A']]]</f>
        <v>#DIV/0!</v>
      </c>
      <c r="H98" s="5" t="e">
        <f>Table6[[#This Row],[Stała momentu '[Nm/mA']]]*(Table6[[#This Row],[Prąd w zwarciu 12V '[A']]]-Table6[[#This Row],[Prąd 24V '[mA']]]/1000)</f>
        <v>#DIV/0!</v>
      </c>
      <c r="I98" s="3" t="e">
        <f>$S$2*24/Table6[[#This Row],[RPM 24V]]</f>
        <v>#DIV/0!</v>
      </c>
      <c r="J98" s="4" t="e">
        <f>Table6[[#This Row],[Prąd w zwarciu 12V '[A']]]*Table6[[#This Row],[Napięcie (Dane RPM)]]/12</f>
        <v>#DIV/0!</v>
      </c>
      <c r="K98" s="4" t="e">
        <f>Table6[[#This Row],[Moment w zwarciu 12V '[Nm/A']]]*Table6[[#This Row],[Napięcie (Dane RPM)]]/12</f>
        <v>#DIV/0!</v>
      </c>
      <c r="L98" s="5" t="e">
        <f>Table6[[#This Row],[Moment w zwarciu 12V '[Nm/A']]]*Table6[[#This Row],[Napięcie (Dane RPM)]]/12/Table6[[#This Row],[Waga]]</f>
        <v>#DIV/0!</v>
      </c>
      <c r="M98" s="3">
        <f>Table6[[#This Row],[RPM 24V]]*$S$3/24</f>
        <v>0</v>
      </c>
      <c r="N98" s="4" t="e">
        <f>Table6[[#This Row],[Prąd w zwarciu 12V '[A']]]*$S$3/12</f>
        <v>#DIV/0!</v>
      </c>
      <c r="O98" s="7" t="e">
        <f>Table6[[#This Row],[Moment w zwarciu 12V '[Nm/A']]]*$S$3/12</f>
        <v>#DIV/0!</v>
      </c>
      <c r="P98" s="5" t="e">
        <f>Table6[[#This Row],[Moment w zwarciu 12V '[Nm/A']]]*$S$3/12/Table6[[#This Row],[Waga]]</f>
        <v>#DIV/0!</v>
      </c>
    </row>
    <row r="99" spans="6:16" ht="18" customHeight="1" x14ac:dyDescent="0.25">
      <c r="F99" s="3" t="e">
        <f>(12-Table6[[#This Row],[Prąd 24V '[mA']]]/10000*Table6[[#This Row],[Opór uzwojeń '[U/1A']]])/(Table6[[#This Row],[RPM 24V]]*PI()/30)*1000</f>
        <v>#DIV/0!</v>
      </c>
      <c r="G99" s="4" t="e">
        <f>12/Table6[[#This Row],[Opór uzwojeń '[U/1A']]]</f>
        <v>#DIV/0!</v>
      </c>
      <c r="H99" s="5" t="e">
        <f>Table6[[#This Row],[Stała momentu '[Nm/mA']]]*(Table6[[#This Row],[Prąd w zwarciu 12V '[A']]]-Table6[[#This Row],[Prąd 24V '[mA']]]/1000)</f>
        <v>#DIV/0!</v>
      </c>
      <c r="I99" s="3" t="e">
        <f>$S$2*24/Table6[[#This Row],[RPM 24V]]</f>
        <v>#DIV/0!</v>
      </c>
      <c r="J99" s="4" t="e">
        <f>Table6[[#This Row],[Prąd w zwarciu 12V '[A']]]*Table6[[#This Row],[Napięcie (Dane RPM)]]/12</f>
        <v>#DIV/0!</v>
      </c>
      <c r="K99" s="4" t="e">
        <f>Table6[[#This Row],[Moment w zwarciu 12V '[Nm/A']]]*Table6[[#This Row],[Napięcie (Dane RPM)]]/12</f>
        <v>#DIV/0!</v>
      </c>
      <c r="L99" s="5" t="e">
        <f>Table6[[#This Row],[Moment w zwarciu 12V '[Nm/A']]]*Table6[[#This Row],[Napięcie (Dane RPM)]]/12/Table6[[#This Row],[Waga]]</f>
        <v>#DIV/0!</v>
      </c>
      <c r="M99" s="3">
        <f>Table6[[#This Row],[RPM 24V]]*$S$3/24</f>
        <v>0</v>
      </c>
      <c r="N99" s="4" t="e">
        <f>Table6[[#This Row],[Prąd w zwarciu 12V '[A']]]*$S$3/12</f>
        <v>#DIV/0!</v>
      </c>
      <c r="O99" s="7" t="e">
        <f>Table6[[#This Row],[Moment w zwarciu 12V '[Nm/A']]]*$S$3/12</f>
        <v>#DIV/0!</v>
      </c>
      <c r="P99" s="5" t="e">
        <f>Table6[[#This Row],[Moment w zwarciu 12V '[Nm/A']]]*$S$3/12/Table6[[#This Row],[Waga]]</f>
        <v>#DIV/0!</v>
      </c>
    </row>
    <row r="100" spans="6:16" ht="18" customHeight="1" x14ac:dyDescent="0.25">
      <c r="F100" s="3" t="e">
        <f>(12-Table6[[#This Row],[Prąd 24V '[mA']]]/10000*Table6[[#This Row],[Opór uzwojeń '[U/1A']]])/(Table6[[#This Row],[RPM 24V]]*PI()/30)*1000</f>
        <v>#DIV/0!</v>
      </c>
      <c r="G100" s="4" t="e">
        <f>12/Table6[[#This Row],[Opór uzwojeń '[U/1A']]]</f>
        <v>#DIV/0!</v>
      </c>
      <c r="H100" s="5" t="e">
        <f>Table6[[#This Row],[Stała momentu '[Nm/mA']]]*(Table6[[#This Row],[Prąd w zwarciu 12V '[A']]]-Table6[[#This Row],[Prąd 24V '[mA']]]/1000)</f>
        <v>#DIV/0!</v>
      </c>
      <c r="I100" s="3" t="e">
        <f>$S$2*24/Table6[[#This Row],[RPM 24V]]</f>
        <v>#DIV/0!</v>
      </c>
      <c r="J100" s="4" t="e">
        <f>Table6[[#This Row],[Prąd w zwarciu 12V '[A']]]*Table6[[#This Row],[Napięcie (Dane RPM)]]/12</f>
        <v>#DIV/0!</v>
      </c>
      <c r="K100" s="4" t="e">
        <f>Table6[[#This Row],[Moment w zwarciu 12V '[Nm/A']]]*Table6[[#This Row],[Napięcie (Dane RPM)]]/12</f>
        <v>#DIV/0!</v>
      </c>
      <c r="L100" s="5" t="e">
        <f>Table6[[#This Row],[Moment w zwarciu 12V '[Nm/A']]]*Table6[[#This Row],[Napięcie (Dane RPM)]]/12/Table6[[#This Row],[Waga]]</f>
        <v>#DIV/0!</v>
      </c>
      <c r="M100" s="3">
        <f>Table6[[#This Row],[RPM 24V]]*$S$3/24</f>
        <v>0</v>
      </c>
      <c r="N100" s="4" t="e">
        <f>Table6[[#This Row],[Prąd w zwarciu 12V '[A']]]*$S$3/12</f>
        <v>#DIV/0!</v>
      </c>
      <c r="O100" s="7" t="e">
        <f>Table6[[#This Row],[Moment w zwarciu 12V '[Nm/A']]]*$S$3/12</f>
        <v>#DIV/0!</v>
      </c>
      <c r="P100" s="5" t="e">
        <f>Table6[[#This Row],[Moment w zwarciu 12V '[Nm/A']]]*$S$3/12/Table6[[#This Row],[Waga]]</f>
        <v>#DIV/0!</v>
      </c>
    </row>
    <row r="101" spans="6:16" ht="18" customHeight="1" x14ac:dyDescent="0.25">
      <c r="F101" s="3" t="e">
        <f>(12-Table6[[#This Row],[Prąd 24V '[mA']]]/10000*Table6[[#This Row],[Opór uzwojeń '[U/1A']]])/(Table6[[#This Row],[RPM 24V]]*PI()/30)*1000</f>
        <v>#DIV/0!</v>
      </c>
      <c r="G101" s="4" t="e">
        <f>12/Table6[[#This Row],[Opór uzwojeń '[U/1A']]]</f>
        <v>#DIV/0!</v>
      </c>
      <c r="H101" s="5" t="e">
        <f>Table6[[#This Row],[Stała momentu '[Nm/mA']]]*(Table6[[#This Row],[Prąd w zwarciu 12V '[A']]]-Table6[[#This Row],[Prąd 24V '[mA']]]/1000)</f>
        <v>#DIV/0!</v>
      </c>
      <c r="I101" s="3" t="e">
        <f>$S$2*24/Table6[[#This Row],[RPM 24V]]</f>
        <v>#DIV/0!</v>
      </c>
      <c r="J101" s="4" t="e">
        <f>Table6[[#This Row],[Prąd w zwarciu 12V '[A']]]*Table6[[#This Row],[Napięcie (Dane RPM)]]/12</f>
        <v>#DIV/0!</v>
      </c>
      <c r="K101" s="4" t="e">
        <f>Table6[[#This Row],[Moment w zwarciu 12V '[Nm/A']]]*Table6[[#This Row],[Napięcie (Dane RPM)]]/12</f>
        <v>#DIV/0!</v>
      </c>
      <c r="L101" s="5" t="e">
        <f>Table6[[#This Row],[Moment w zwarciu 12V '[Nm/A']]]*Table6[[#This Row],[Napięcie (Dane RPM)]]/12/Table6[[#This Row],[Waga]]</f>
        <v>#DIV/0!</v>
      </c>
      <c r="M101" s="3">
        <f>Table6[[#This Row],[RPM 24V]]*$S$3/24</f>
        <v>0</v>
      </c>
      <c r="N101" s="4" t="e">
        <f>Table6[[#This Row],[Prąd w zwarciu 12V '[A']]]*$S$3/12</f>
        <v>#DIV/0!</v>
      </c>
      <c r="O101" s="7" t="e">
        <f>Table6[[#This Row],[Moment w zwarciu 12V '[Nm/A']]]*$S$3/12</f>
        <v>#DIV/0!</v>
      </c>
      <c r="P101" s="5" t="e">
        <f>Table6[[#This Row],[Moment w zwarciu 12V '[Nm/A']]]*$S$3/12/Table6[[#This Row],[Waga]]</f>
        <v>#DIV/0!</v>
      </c>
    </row>
    <row r="102" spans="6:16" ht="18" customHeight="1" x14ac:dyDescent="0.25">
      <c r="F102" s="3" t="e">
        <f>(12-Table6[[#This Row],[Prąd 24V '[mA']]]/10000*Table6[[#This Row],[Opór uzwojeń '[U/1A']]])/(Table6[[#This Row],[RPM 24V]]*PI()/30)*1000</f>
        <v>#DIV/0!</v>
      </c>
      <c r="G102" s="4" t="e">
        <f>12/Table6[[#This Row],[Opór uzwojeń '[U/1A']]]</f>
        <v>#DIV/0!</v>
      </c>
      <c r="H102" s="5" t="e">
        <f>Table6[[#This Row],[Stała momentu '[Nm/mA']]]*(Table6[[#This Row],[Prąd w zwarciu 12V '[A']]]-Table6[[#This Row],[Prąd 24V '[mA']]]/1000)</f>
        <v>#DIV/0!</v>
      </c>
      <c r="I102" s="3" t="e">
        <f>$S$2*24/Table6[[#This Row],[RPM 24V]]</f>
        <v>#DIV/0!</v>
      </c>
      <c r="J102" s="4" t="e">
        <f>Table6[[#This Row],[Prąd w zwarciu 12V '[A']]]*Table6[[#This Row],[Napięcie (Dane RPM)]]/12</f>
        <v>#DIV/0!</v>
      </c>
      <c r="K102" s="4" t="e">
        <f>Table6[[#This Row],[Moment w zwarciu 12V '[Nm/A']]]*Table6[[#This Row],[Napięcie (Dane RPM)]]/12</f>
        <v>#DIV/0!</v>
      </c>
      <c r="L102" s="5" t="e">
        <f>Table6[[#This Row],[Moment w zwarciu 12V '[Nm/A']]]*Table6[[#This Row],[Napięcie (Dane RPM)]]/12/Table6[[#This Row],[Waga]]</f>
        <v>#DIV/0!</v>
      </c>
      <c r="M102" s="3">
        <f>Table6[[#This Row],[RPM 24V]]*$S$3/24</f>
        <v>0</v>
      </c>
      <c r="N102" s="4" t="e">
        <f>Table6[[#This Row],[Prąd w zwarciu 12V '[A']]]*$S$3/12</f>
        <v>#DIV/0!</v>
      </c>
      <c r="O102" s="7" t="e">
        <f>Table6[[#This Row],[Moment w zwarciu 12V '[Nm/A']]]*$S$3/12</f>
        <v>#DIV/0!</v>
      </c>
      <c r="P102" s="5" t="e">
        <f>Table6[[#This Row],[Moment w zwarciu 12V '[Nm/A']]]*$S$3/12/Table6[[#This Row],[Waga]]</f>
        <v>#DIV/0!</v>
      </c>
    </row>
    <row r="103" spans="6:16" ht="18" customHeight="1" x14ac:dyDescent="0.25">
      <c r="F103" s="3" t="e">
        <f>(12-Table6[[#This Row],[Prąd 24V '[mA']]]/10000*Table6[[#This Row],[Opór uzwojeń '[U/1A']]])/(Table6[[#This Row],[RPM 24V]]*PI()/30)*1000</f>
        <v>#DIV/0!</v>
      </c>
      <c r="G103" s="4" t="e">
        <f>12/Table6[[#This Row],[Opór uzwojeń '[U/1A']]]</f>
        <v>#DIV/0!</v>
      </c>
      <c r="H103" s="5" t="e">
        <f>Table6[[#This Row],[Stała momentu '[Nm/mA']]]*(Table6[[#This Row],[Prąd w zwarciu 12V '[A']]]-Table6[[#This Row],[Prąd 24V '[mA']]]/1000)</f>
        <v>#DIV/0!</v>
      </c>
      <c r="I103" s="3" t="e">
        <f>$S$2*24/Table6[[#This Row],[RPM 24V]]</f>
        <v>#DIV/0!</v>
      </c>
      <c r="J103" s="4" t="e">
        <f>Table6[[#This Row],[Prąd w zwarciu 12V '[A']]]*Table6[[#This Row],[Napięcie (Dane RPM)]]/12</f>
        <v>#DIV/0!</v>
      </c>
      <c r="K103" s="4" t="e">
        <f>Table6[[#This Row],[Moment w zwarciu 12V '[Nm/A']]]*Table6[[#This Row],[Napięcie (Dane RPM)]]/12</f>
        <v>#DIV/0!</v>
      </c>
      <c r="L103" s="5" t="e">
        <f>Table6[[#This Row],[Moment w zwarciu 12V '[Nm/A']]]*Table6[[#This Row],[Napięcie (Dane RPM)]]/12/Table6[[#This Row],[Waga]]</f>
        <v>#DIV/0!</v>
      </c>
      <c r="M103" s="3">
        <f>Table6[[#This Row],[RPM 24V]]*$S$3/24</f>
        <v>0</v>
      </c>
      <c r="N103" s="4" t="e">
        <f>Table6[[#This Row],[Prąd w zwarciu 12V '[A']]]*$S$3/12</f>
        <v>#DIV/0!</v>
      </c>
      <c r="O103" s="7" t="e">
        <f>Table6[[#This Row],[Moment w zwarciu 12V '[Nm/A']]]*$S$3/12</f>
        <v>#DIV/0!</v>
      </c>
      <c r="P103" s="5" t="e">
        <f>Table6[[#This Row],[Moment w zwarciu 12V '[Nm/A']]]*$S$3/12/Table6[[#This Row],[Waga]]</f>
        <v>#DIV/0!</v>
      </c>
    </row>
    <row r="104" spans="6:16" ht="18" customHeight="1" x14ac:dyDescent="0.25">
      <c r="F104" s="3" t="e">
        <f>(12-Table6[[#This Row],[Prąd 24V '[mA']]]/10000*Table6[[#This Row],[Opór uzwojeń '[U/1A']]])/(Table6[[#This Row],[RPM 24V]]*PI()/30)*1000</f>
        <v>#DIV/0!</v>
      </c>
      <c r="G104" s="4" t="e">
        <f>12/Table6[[#This Row],[Opór uzwojeń '[U/1A']]]</f>
        <v>#DIV/0!</v>
      </c>
      <c r="H104" s="5" t="e">
        <f>Table6[[#This Row],[Stała momentu '[Nm/mA']]]*(Table6[[#This Row],[Prąd w zwarciu 12V '[A']]]-Table6[[#This Row],[Prąd 24V '[mA']]]/1000)</f>
        <v>#DIV/0!</v>
      </c>
      <c r="I104" s="3" t="e">
        <f>$S$2*24/Table6[[#This Row],[RPM 24V]]</f>
        <v>#DIV/0!</v>
      </c>
      <c r="J104" s="4" t="e">
        <f>Table6[[#This Row],[Prąd w zwarciu 12V '[A']]]*Table6[[#This Row],[Napięcie (Dane RPM)]]/12</f>
        <v>#DIV/0!</v>
      </c>
      <c r="K104" s="4" t="e">
        <f>Table6[[#This Row],[Moment w zwarciu 12V '[Nm/A']]]*Table6[[#This Row],[Napięcie (Dane RPM)]]/12</f>
        <v>#DIV/0!</v>
      </c>
      <c r="L104" s="5" t="e">
        <f>Table6[[#This Row],[Moment w zwarciu 12V '[Nm/A']]]*Table6[[#This Row],[Napięcie (Dane RPM)]]/12/Table6[[#This Row],[Waga]]</f>
        <v>#DIV/0!</v>
      </c>
      <c r="M104" s="3">
        <f>Table6[[#This Row],[RPM 24V]]*$S$3/24</f>
        <v>0</v>
      </c>
      <c r="N104" s="4" t="e">
        <f>Table6[[#This Row],[Prąd w zwarciu 12V '[A']]]*$S$3/12</f>
        <v>#DIV/0!</v>
      </c>
      <c r="O104" s="7" t="e">
        <f>Table6[[#This Row],[Moment w zwarciu 12V '[Nm/A']]]*$S$3/12</f>
        <v>#DIV/0!</v>
      </c>
      <c r="P104" s="5" t="e">
        <f>Table6[[#This Row],[Moment w zwarciu 12V '[Nm/A']]]*$S$3/12/Table6[[#This Row],[Waga]]</f>
        <v>#DIV/0!</v>
      </c>
    </row>
    <row r="105" spans="6:16" ht="18" customHeight="1" x14ac:dyDescent="0.25">
      <c r="F105" s="3" t="e">
        <f>(12-Table6[[#This Row],[Prąd 24V '[mA']]]/10000*Table6[[#This Row],[Opór uzwojeń '[U/1A']]])/(Table6[[#This Row],[RPM 24V]]*PI()/30)*1000</f>
        <v>#DIV/0!</v>
      </c>
      <c r="G105" s="4" t="e">
        <f>12/Table6[[#This Row],[Opór uzwojeń '[U/1A']]]</f>
        <v>#DIV/0!</v>
      </c>
      <c r="H105" s="5" t="e">
        <f>Table6[[#This Row],[Stała momentu '[Nm/mA']]]*(Table6[[#This Row],[Prąd w zwarciu 12V '[A']]]-Table6[[#This Row],[Prąd 24V '[mA']]]/1000)</f>
        <v>#DIV/0!</v>
      </c>
      <c r="I105" s="3" t="e">
        <f>$S$2*24/Table6[[#This Row],[RPM 24V]]</f>
        <v>#DIV/0!</v>
      </c>
      <c r="J105" s="4" t="e">
        <f>Table6[[#This Row],[Prąd w zwarciu 12V '[A']]]*Table6[[#This Row],[Napięcie (Dane RPM)]]/12</f>
        <v>#DIV/0!</v>
      </c>
      <c r="K105" s="4" t="e">
        <f>Table6[[#This Row],[Moment w zwarciu 12V '[Nm/A']]]*Table6[[#This Row],[Napięcie (Dane RPM)]]/12</f>
        <v>#DIV/0!</v>
      </c>
      <c r="L105" s="5" t="e">
        <f>Table6[[#This Row],[Moment w zwarciu 12V '[Nm/A']]]*Table6[[#This Row],[Napięcie (Dane RPM)]]/12/Table6[[#This Row],[Waga]]</f>
        <v>#DIV/0!</v>
      </c>
      <c r="M105" s="3">
        <f>Table6[[#This Row],[RPM 24V]]*$S$3/24</f>
        <v>0</v>
      </c>
      <c r="N105" s="4" t="e">
        <f>Table6[[#This Row],[Prąd w zwarciu 12V '[A']]]*$S$3/12</f>
        <v>#DIV/0!</v>
      </c>
      <c r="O105" s="7" t="e">
        <f>Table6[[#This Row],[Moment w zwarciu 12V '[Nm/A']]]*$S$3/12</f>
        <v>#DIV/0!</v>
      </c>
      <c r="P105" s="5" t="e">
        <f>Table6[[#This Row],[Moment w zwarciu 12V '[Nm/A']]]*$S$3/12/Table6[[#This Row],[Waga]]</f>
        <v>#DIV/0!</v>
      </c>
    </row>
    <row r="106" spans="6:16" ht="18" customHeight="1" x14ac:dyDescent="0.25">
      <c r="F106" s="3" t="e">
        <f>(12-Table6[[#This Row],[Prąd 24V '[mA']]]/10000*Table6[[#This Row],[Opór uzwojeń '[U/1A']]])/(Table6[[#This Row],[RPM 24V]]*PI()/30)*1000</f>
        <v>#DIV/0!</v>
      </c>
      <c r="G106" s="4" t="e">
        <f>12/Table6[[#This Row],[Opór uzwojeń '[U/1A']]]</f>
        <v>#DIV/0!</v>
      </c>
      <c r="H106" s="5" t="e">
        <f>Table6[[#This Row],[Stała momentu '[Nm/mA']]]*(Table6[[#This Row],[Prąd w zwarciu 12V '[A']]]-Table6[[#This Row],[Prąd 24V '[mA']]]/1000)</f>
        <v>#DIV/0!</v>
      </c>
      <c r="I106" s="3" t="e">
        <f>$S$2*24/Table6[[#This Row],[RPM 24V]]</f>
        <v>#DIV/0!</v>
      </c>
      <c r="J106" s="4" t="e">
        <f>Table6[[#This Row],[Prąd w zwarciu 12V '[A']]]*Table6[[#This Row],[Napięcie (Dane RPM)]]/12</f>
        <v>#DIV/0!</v>
      </c>
      <c r="K106" s="4" t="e">
        <f>Table6[[#This Row],[Moment w zwarciu 12V '[Nm/A']]]*Table6[[#This Row],[Napięcie (Dane RPM)]]/12</f>
        <v>#DIV/0!</v>
      </c>
      <c r="L106" s="5" t="e">
        <f>Table6[[#This Row],[Moment w zwarciu 12V '[Nm/A']]]*Table6[[#This Row],[Napięcie (Dane RPM)]]/12/Table6[[#This Row],[Waga]]</f>
        <v>#DIV/0!</v>
      </c>
      <c r="M106" s="3">
        <f>Table6[[#This Row],[RPM 24V]]*$S$3/24</f>
        <v>0</v>
      </c>
      <c r="N106" s="4" t="e">
        <f>Table6[[#This Row],[Prąd w zwarciu 12V '[A']]]*$S$3/12</f>
        <v>#DIV/0!</v>
      </c>
      <c r="O106" s="7" t="e">
        <f>Table6[[#This Row],[Moment w zwarciu 12V '[Nm/A']]]*$S$3/12</f>
        <v>#DIV/0!</v>
      </c>
      <c r="P106" s="5" t="e">
        <f>Table6[[#This Row],[Moment w zwarciu 12V '[Nm/A']]]*$S$3/12/Table6[[#This Row],[Waga]]</f>
        <v>#DIV/0!</v>
      </c>
    </row>
    <row r="107" spans="6:16" ht="18" customHeight="1" x14ac:dyDescent="0.25">
      <c r="F107" s="3" t="e">
        <f>(12-Table6[[#This Row],[Prąd 24V '[mA']]]/10000*Table6[[#This Row],[Opór uzwojeń '[U/1A']]])/(Table6[[#This Row],[RPM 24V]]*PI()/30)*1000</f>
        <v>#DIV/0!</v>
      </c>
      <c r="G107" s="4" t="e">
        <f>12/Table6[[#This Row],[Opór uzwojeń '[U/1A']]]</f>
        <v>#DIV/0!</v>
      </c>
      <c r="H107" s="5" t="e">
        <f>Table6[[#This Row],[Stała momentu '[Nm/mA']]]*(Table6[[#This Row],[Prąd w zwarciu 12V '[A']]]-Table6[[#This Row],[Prąd 24V '[mA']]]/1000)</f>
        <v>#DIV/0!</v>
      </c>
      <c r="I107" s="3" t="e">
        <f>$S$2*24/Table6[[#This Row],[RPM 24V]]</f>
        <v>#DIV/0!</v>
      </c>
      <c r="J107" s="4" t="e">
        <f>Table6[[#This Row],[Prąd w zwarciu 12V '[A']]]*Table6[[#This Row],[Napięcie (Dane RPM)]]/12</f>
        <v>#DIV/0!</v>
      </c>
      <c r="K107" s="4" t="e">
        <f>Table6[[#This Row],[Moment w zwarciu 12V '[Nm/A']]]*Table6[[#This Row],[Napięcie (Dane RPM)]]/12</f>
        <v>#DIV/0!</v>
      </c>
      <c r="L107" s="5" t="e">
        <f>Table6[[#This Row],[Moment w zwarciu 12V '[Nm/A']]]*Table6[[#This Row],[Napięcie (Dane RPM)]]/12/Table6[[#This Row],[Waga]]</f>
        <v>#DIV/0!</v>
      </c>
      <c r="M107" s="3">
        <f>Table6[[#This Row],[RPM 24V]]*$S$3/24</f>
        <v>0</v>
      </c>
      <c r="N107" s="4" t="e">
        <f>Table6[[#This Row],[Prąd w zwarciu 12V '[A']]]*$S$3/12</f>
        <v>#DIV/0!</v>
      </c>
      <c r="O107" s="7" t="e">
        <f>Table6[[#This Row],[Moment w zwarciu 12V '[Nm/A']]]*$S$3/12</f>
        <v>#DIV/0!</v>
      </c>
      <c r="P107" s="5" t="e">
        <f>Table6[[#This Row],[Moment w zwarciu 12V '[Nm/A']]]*$S$3/12/Table6[[#This Row],[Waga]]</f>
        <v>#DIV/0!</v>
      </c>
    </row>
    <row r="108" spans="6:16" ht="18" customHeight="1" x14ac:dyDescent="0.25">
      <c r="F108" s="3" t="e">
        <f>(12-Table6[[#This Row],[Prąd 24V '[mA']]]/10000*Table6[[#This Row],[Opór uzwojeń '[U/1A']]])/(Table6[[#This Row],[RPM 24V]]*PI()/30)*1000</f>
        <v>#DIV/0!</v>
      </c>
      <c r="G108" s="4" t="e">
        <f>12/Table6[[#This Row],[Opór uzwojeń '[U/1A']]]</f>
        <v>#DIV/0!</v>
      </c>
      <c r="H108" s="5" t="e">
        <f>Table6[[#This Row],[Stała momentu '[Nm/mA']]]*(Table6[[#This Row],[Prąd w zwarciu 12V '[A']]]-Table6[[#This Row],[Prąd 24V '[mA']]]/1000)</f>
        <v>#DIV/0!</v>
      </c>
      <c r="I108" s="3" t="e">
        <f>$S$2*24/Table6[[#This Row],[RPM 24V]]</f>
        <v>#DIV/0!</v>
      </c>
      <c r="J108" s="4" t="e">
        <f>Table6[[#This Row],[Prąd w zwarciu 12V '[A']]]*Table6[[#This Row],[Napięcie (Dane RPM)]]/12</f>
        <v>#DIV/0!</v>
      </c>
      <c r="K108" s="4" t="e">
        <f>Table6[[#This Row],[Moment w zwarciu 12V '[Nm/A']]]*Table6[[#This Row],[Napięcie (Dane RPM)]]/12</f>
        <v>#DIV/0!</v>
      </c>
      <c r="L108" s="5" t="e">
        <f>Table6[[#This Row],[Moment w zwarciu 12V '[Nm/A']]]*Table6[[#This Row],[Napięcie (Dane RPM)]]/12/Table6[[#This Row],[Waga]]</f>
        <v>#DIV/0!</v>
      </c>
      <c r="M108" s="3">
        <f>Table6[[#This Row],[RPM 24V]]*$S$3/24</f>
        <v>0</v>
      </c>
      <c r="N108" s="4" t="e">
        <f>Table6[[#This Row],[Prąd w zwarciu 12V '[A']]]*$S$3/12</f>
        <v>#DIV/0!</v>
      </c>
      <c r="O108" s="7" t="e">
        <f>Table6[[#This Row],[Moment w zwarciu 12V '[Nm/A']]]*$S$3/12</f>
        <v>#DIV/0!</v>
      </c>
      <c r="P108" s="5" t="e">
        <f>Table6[[#This Row],[Moment w zwarciu 12V '[Nm/A']]]*$S$3/12/Table6[[#This Row],[Waga]]</f>
        <v>#DIV/0!</v>
      </c>
    </row>
    <row r="109" spans="6:16" ht="18" customHeight="1" x14ac:dyDescent="0.25">
      <c r="F109" s="3" t="e">
        <f>(12-Table6[[#This Row],[Prąd 24V '[mA']]]/10000*Table6[[#This Row],[Opór uzwojeń '[U/1A']]])/(Table6[[#This Row],[RPM 24V]]*PI()/30)*1000</f>
        <v>#DIV/0!</v>
      </c>
      <c r="G109" s="4" t="e">
        <f>12/Table6[[#This Row],[Opór uzwojeń '[U/1A']]]</f>
        <v>#DIV/0!</v>
      </c>
      <c r="H109" s="5" t="e">
        <f>Table6[[#This Row],[Stała momentu '[Nm/mA']]]*(Table6[[#This Row],[Prąd w zwarciu 12V '[A']]]-Table6[[#This Row],[Prąd 24V '[mA']]]/1000)</f>
        <v>#DIV/0!</v>
      </c>
      <c r="I109" s="3" t="e">
        <f>$S$2*24/Table6[[#This Row],[RPM 24V]]</f>
        <v>#DIV/0!</v>
      </c>
      <c r="J109" s="4" t="e">
        <f>Table6[[#This Row],[Prąd w zwarciu 12V '[A']]]*Table6[[#This Row],[Napięcie (Dane RPM)]]/12</f>
        <v>#DIV/0!</v>
      </c>
      <c r="K109" s="4" t="e">
        <f>Table6[[#This Row],[Moment w zwarciu 12V '[Nm/A']]]*Table6[[#This Row],[Napięcie (Dane RPM)]]/12</f>
        <v>#DIV/0!</v>
      </c>
      <c r="L109" s="5" t="e">
        <f>Table6[[#This Row],[Moment w zwarciu 12V '[Nm/A']]]*Table6[[#This Row],[Napięcie (Dane RPM)]]/12/Table6[[#This Row],[Waga]]</f>
        <v>#DIV/0!</v>
      </c>
      <c r="M109" s="3">
        <f>Table6[[#This Row],[RPM 24V]]*$S$3/24</f>
        <v>0</v>
      </c>
      <c r="N109" s="4" t="e">
        <f>Table6[[#This Row],[Prąd w zwarciu 12V '[A']]]*$S$3/12</f>
        <v>#DIV/0!</v>
      </c>
      <c r="O109" s="7" t="e">
        <f>Table6[[#This Row],[Moment w zwarciu 12V '[Nm/A']]]*$S$3/12</f>
        <v>#DIV/0!</v>
      </c>
      <c r="P109" s="5" t="e">
        <f>Table6[[#This Row],[Moment w zwarciu 12V '[Nm/A']]]*$S$3/12/Table6[[#This Row],[Waga]]</f>
        <v>#DIV/0!</v>
      </c>
    </row>
    <row r="110" spans="6:16" ht="18" customHeight="1" x14ac:dyDescent="0.25">
      <c r="F110" s="3" t="e">
        <f>(12-Table6[[#This Row],[Prąd 24V '[mA']]]/10000*Table6[[#This Row],[Opór uzwojeń '[U/1A']]])/(Table6[[#This Row],[RPM 24V]]*PI()/30)*1000</f>
        <v>#DIV/0!</v>
      </c>
      <c r="G110" s="4" t="e">
        <f>12/Table6[[#This Row],[Opór uzwojeń '[U/1A']]]</f>
        <v>#DIV/0!</v>
      </c>
      <c r="H110" s="5" t="e">
        <f>Table6[[#This Row],[Stała momentu '[Nm/mA']]]*(Table6[[#This Row],[Prąd w zwarciu 12V '[A']]]-Table6[[#This Row],[Prąd 24V '[mA']]]/1000)</f>
        <v>#DIV/0!</v>
      </c>
      <c r="I110" s="3" t="e">
        <f>$S$2*24/Table6[[#This Row],[RPM 24V]]</f>
        <v>#DIV/0!</v>
      </c>
      <c r="J110" s="4" t="e">
        <f>Table6[[#This Row],[Prąd w zwarciu 12V '[A']]]*Table6[[#This Row],[Napięcie (Dane RPM)]]/12</f>
        <v>#DIV/0!</v>
      </c>
      <c r="K110" s="4" t="e">
        <f>Table6[[#This Row],[Moment w zwarciu 12V '[Nm/A']]]*Table6[[#This Row],[Napięcie (Dane RPM)]]/12</f>
        <v>#DIV/0!</v>
      </c>
      <c r="L110" s="5" t="e">
        <f>Table6[[#This Row],[Moment w zwarciu 12V '[Nm/A']]]*Table6[[#This Row],[Napięcie (Dane RPM)]]/12/Table6[[#This Row],[Waga]]</f>
        <v>#DIV/0!</v>
      </c>
      <c r="M110" s="3">
        <f>Table6[[#This Row],[RPM 24V]]*$S$3/24</f>
        <v>0</v>
      </c>
      <c r="N110" s="4" t="e">
        <f>Table6[[#This Row],[Prąd w zwarciu 12V '[A']]]*$S$3/12</f>
        <v>#DIV/0!</v>
      </c>
      <c r="O110" s="7" t="e">
        <f>Table6[[#This Row],[Moment w zwarciu 12V '[Nm/A']]]*$S$3/12</f>
        <v>#DIV/0!</v>
      </c>
      <c r="P110" s="5" t="e">
        <f>Table6[[#This Row],[Moment w zwarciu 12V '[Nm/A']]]*$S$3/12/Table6[[#This Row],[Waga]]</f>
        <v>#DIV/0!</v>
      </c>
    </row>
    <row r="111" spans="6:16" ht="18" customHeight="1" x14ac:dyDescent="0.25">
      <c r="F111" s="3" t="e">
        <f>(12-Table6[[#This Row],[Prąd 24V '[mA']]]/10000*Table6[[#This Row],[Opór uzwojeń '[U/1A']]])/(Table6[[#This Row],[RPM 24V]]*PI()/30)*1000</f>
        <v>#DIV/0!</v>
      </c>
      <c r="G111" s="4" t="e">
        <f>12/Table6[[#This Row],[Opór uzwojeń '[U/1A']]]</f>
        <v>#DIV/0!</v>
      </c>
      <c r="H111" s="5" t="e">
        <f>Table6[[#This Row],[Stała momentu '[Nm/mA']]]*(Table6[[#This Row],[Prąd w zwarciu 12V '[A']]]-Table6[[#This Row],[Prąd 24V '[mA']]]/1000)</f>
        <v>#DIV/0!</v>
      </c>
      <c r="I111" s="3" t="e">
        <f>$S$2*24/Table6[[#This Row],[RPM 24V]]</f>
        <v>#DIV/0!</v>
      </c>
      <c r="J111" s="4" t="e">
        <f>Table6[[#This Row],[Prąd w zwarciu 12V '[A']]]*Table6[[#This Row],[Napięcie (Dane RPM)]]/12</f>
        <v>#DIV/0!</v>
      </c>
      <c r="K111" s="4" t="e">
        <f>Table6[[#This Row],[Moment w zwarciu 12V '[Nm/A']]]*Table6[[#This Row],[Napięcie (Dane RPM)]]/12</f>
        <v>#DIV/0!</v>
      </c>
      <c r="L111" s="5" t="e">
        <f>Table6[[#This Row],[Moment w zwarciu 12V '[Nm/A']]]*Table6[[#This Row],[Napięcie (Dane RPM)]]/12/Table6[[#This Row],[Waga]]</f>
        <v>#DIV/0!</v>
      </c>
      <c r="M111" s="3">
        <f>Table6[[#This Row],[RPM 24V]]*$S$3/24</f>
        <v>0</v>
      </c>
      <c r="N111" s="4" t="e">
        <f>Table6[[#This Row],[Prąd w zwarciu 12V '[A']]]*$S$3/12</f>
        <v>#DIV/0!</v>
      </c>
      <c r="O111" s="7" t="e">
        <f>Table6[[#This Row],[Moment w zwarciu 12V '[Nm/A']]]*$S$3/12</f>
        <v>#DIV/0!</v>
      </c>
      <c r="P111" s="5" t="e">
        <f>Table6[[#This Row],[Moment w zwarciu 12V '[Nm/A']]]*$S$3/12/Table6[[#This Row],[Waga]]</f>
        <v>#DIV/0!</v>
      </c>
    </row>
    <row r="112" spans="6:16" ht="18" customHeight="1" x14ac:dyDescent="0.25">
      <c r="F112" s="3" t="e">
        <f>(12-Table6[[#This Row],[Prąd 24V '[mA']]]/10000*Table6[[#This Row],[Opór uzwojeń '[U/1A']]])/(Table6[[#This Row],[RPM 24V]]*PI()/30)*1000</f>
        <v>#DIV/0!</v>
      </c>
      <c r="G112" s="4" t="e">
        <f>12/Table6[[#This Row],[Opór uzwojeń '[U/1A']]]</f>
        <v>#DIV/0!</v>
      </c>
      <c r="H112" s="5" t="e">
        <f>Table6[[#This Row],[Stała momentu '[Nm/mA']]]*(Table6[[#This Row],[Prąd w zwarciu 12V '[A']]]-Table6[[#This Row],[Prąd 24V '[mA']]]/1000)</f>
        <v>#DIV/0!</v>
      </c>
      <c r="I112" s="3" t="e">
        <f>$S$2*24/Table6[[#This Row],[RPM 24V]]</f>
        <v>#DIV/0!</v>
      </c>
      <c r="J112" s="4" t="e">
        <f>Table6[[#This Row],[Prąd w zwarciu 12V '[A']]]*Table6[[#This Row],[Napięcie (Dane RPM)]]/12</f>
        <v>#DIV/0!</v>
      </c>
      <c r="K112" s="4" t="e">
        <f>Table6[[#This Row],[Moment w zwarciu 12V '[Nm/A']]]*Table6[[#This Row],[Napięcie (Dane RPM)]]/12</f>
        <v>#DIV/0!</v>
      </c>
      <c r="L112" s="5" t="e">
        <f>Table6[[#This Row],[Moment w zwarciu 12V '[Nm/A']]]*Table6[[#This Row],[Napięcie (Dane RPM)]]/12/Table6[[#This Row],[Waga]]</f>
        <v>#DIV/0!</v>
      </c>
      <c r="M112" s="3">
        <f>Table6[[#This Row],[RPM 24V]]*$S$3/24</f>
        <v>0</v>
      </c>
      <c r="N112" s="4" t="e">
        <f>Table6[[#This Row],[Prąd w zwarciu 12V '[A']]]*$S$3/12</f>
        <v>#DIV/0!</v>
      </c>
      <c r="O112" s="7" t="e">
        <f>Table6[[#This Row],[Moment w zwarciu 12V '[Nm/A']]]*$S$3/12</f>
        <v>#DIV/0!</v>
      </c>
      <c r="P112" s="5" t="e">
        <f>Table6[[#This Row],[Moment w zwarciu 12V '[Nm/A']]]*$S$3/12/Table6[[#This Row],[Waga]]</f>
        <v>#DIV/0!</v>
      </c>
    </row>
    <row r="113" spans="6:16" ht="18" customHeight="1" x14ac:dyDescent="0.25">
      <c r="F113" s="3" t="e">
        <f>(12-Table6[[#This Row],[Prąd 24V '[mA']]]/10000*Table6[[#This Row],[Opór uzwojeń '[U/1A']]])/(Table6[[#This Row],[RPM 24V]]*PI()/30)*1000</f>
        <v>#DIV/0!</v>
      </c>
      <c r="G113" s="4" t="e">
        <f>12/Table6[[#This Row],[Opór uzwojeń '[U/1A']]]</f>
        <v>#DIV/0!</v>
      </c>
      <c r="H113" s="5" t="e">
        <f>Table6[[#This Row],[Stała momentu '[Nm/mA']]]*(Table6[[#This Row],[Prąd w zwarciu 12V '[A']]]-Table6[[#This Row],[Prąd 24V '[mA']]]/1000)</f>
        <v>#DIV/0!</v>
      </c>
      <c r="I113" s="3" t="e">
        <f>$S$2*24/Table6[[#This Row],[RPM 24V]]</f>
        <v>#DIV/0!</v>
      </c>
      <c r="J113" s="4" t="e">
        <f>Table6[[#This Row],[Prąd w zwarciu 12V '[A']]]*Table6[[#This Row],[Napięcie (Dane RPM)]]/12</f>
        <v>#DIV/0!</v>
      </c>
      <c r="K113" s="4" t="e">
        <f>Table6[[#This Row],[Moment w zwarciu 12V '[Nm/A']]]*Table6[[#This Row],[Napięcie (Dane RPM)]]/12</f>
        <v>#DIV/0!</v>
      </c>
      <c r="L113" s="5" t="e">
        <f>Table6[[#This Row],[Moment w zwarciu 12V '[Nm/A']]]*Table6[[#This Row],[Napięcie (Dane RPM)]]/12/Table6[[#This Row],[Waga]]</f>
        <v>#DIV/0!</v>
      </c>
      <c r="M113" s="3">
        <f>Table6[[#This Row],[RPM 24V]]*$S$3/24</f>
        <v>0</v>
      </c>
      <c r="N113" s="4" t="e">
        <f>Table6[[#This Row],[Prąd w zwarciu 12V '[A']]]*$S$3/12</f>
        <v>#DIV/0!</v>
      </c>
      <c r="O113" s="7" t="e">
        <f>Table6[[#This Row],[Moment w zwarciu 12V '[Nm/A']]]*$S$3/12</f>
        <v>#DIV/0!</v>
      </c>
      <c r="P113" s="5" t="e">
        <f>Table6[[#This Row],[Moment w zwarciu 12V '[Nm/A']]]*$S$3/12/Table6[[#This Row],[Waga]]</f>
        <v>#DIV/0!</v>
      </c>
    </row>
    <row r="114" spans="6:16" ht="18" customHeight="1" x14ac:dyDescent="0.25">
      <c r="F114" s="3" t="e">
        <f>(12-Table6[[#This Row],[Prąd 24V '[mA']]]/10000*Table6[[#This Row],[Opór uzwojeń '[U/1A']]])/(Table6[[#This Row],[RPM 24V]]*PI()/30)*1000</f>
        <v>#DIV/0!</v>
      </c>
      <c r="G114" s="4" t="e">
        <f>12/Table6[[#This Row],[Opór uzwojeń '[U/1A']]]</f>
        <v>#DIV/0!</v>
      </c>
      <c r="H114" s="5" t="e">
        <f>Table6[[#This Row],[Stała momentu '[Nm/mA']]]*(Table6[[#This Row],[Prąd w zwarciu 12V '[A']]]-Table6[[#This Row],[Prąd 24V '[mA']]]/1000)</f>
        <v>#DIV/0!</v>
      </c>
      <c r="I114" s="3" t="e">
        <f>$S$2*24/Table6[[#This Row],[RPM 24V]]</f>
        <v>#DIV/0!</v>
      </c>
      <c r="J114" s="4" t="e">
        <f>Table6[[#This Row],[Prąd w zwarciu 12V '[A']]]*Table6[[#This Row],[Napięcie (Dane RPM)]]/12</f>
        <v>#DIV/0!</v>
      </c>
      <c r="K114" s="4" t="e">
        <f>Table6[[#This Row],[Moment w zwarciu 12V '[Nm/A']]]*Table6[[#This Row],[Napięcie (Dane RPM)]]/12</f>
        <v>#DIV/0!</v>
      </c>
      <c r="L114" s="5" t="e">
        <f>Table6[[#This Row],[Moment w zwarciu 12V '[Nm/A']]]*Table6[[#This Row],[Napięcie (Dane RPM)]]/12/Table6[[#This Row],[Waga]]</f>
        <v>#DIV/0!</v>
      </c>
      <c r="M114" s="3">
        <f>Table6[[#This Row],[RPM 24V]]*$S$3/24</f>
        <v>0</v>
      </c>
      <c r="N114" s="4" t="e">
        <f>Table6[[#This Row],[Prąd w zwarciu 12V '[A']]]*$S$3/12</f>
        <v>#DIV/0!</v>
      </c>
      <c r="O114" s="7" t="e">
        <f>Table6[[#This Row],[Moment w zwarciu 12V '[Nm/A']]]*$S$3/12</f>
        <v>#DIV/0!</v>
      </c>
      <c r="P114" s="5" t="e">
        <f>Table6[[#This Row],[Moment w zwarciu 12V '[Nm/A']]]*$S$3/12/Table6[[#This Row],[Waga]]</f>
        <v>#DIV/0!</v>
      </c>
    </row>
  </sheetData>
  <mergeCells count="1">
    <mergeCell ref="R1:S1"/>
  </mergeCells>
  <conditionalFormatting sqref="A1:P6">
    <cfRule type="expression" dxfId="1" priority="1">
      <formula>$K1=_xlfn.AGGREGATE(4,6,$K:$K)</formula>
    </cfRule>
    <cfRule type="expression" dxfId="0" priority="4">
      <formula>$O1=_xlfn.AGGREGATE(4,6,$O:$O)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Filipkowski</dc:creator>
  <cp:lastModifiedBy>Szymon Filipkowski</cp:lastModifiedBy>
  <dcterms:created xsi:type="dcterms:W3CDTF">2026-04-16T14:53:10Z</dcterms:created>
  <dcterms:modified xsi:type="dcterms:W3CDTF">2026-04-16T17:37:49Z</dcterms:modified>
</cp:coreProperties>
</file>