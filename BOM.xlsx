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\robotyka\robots\evangelion-turbo\"/>
    </mc:Choice>
  </mc:AlternateContent>
  <xr:revisionPtr revIDLastSave="0" documentId="13_ncr:20001_{3BF1B69B-FAC5-40F8-B2F5-189FD527CE43}" xr6:coauthVersionLast="47" xr6:coauthVersionMax="47" xr10:uidLastSave="{00000000-0000-0000-0000-000000000000}"/>
  <bookViews>
    <workbookView xWindow="-28920" yWindow="2730" windowWidth="29040" windowHeight="15840" xr2:uid="{C42FA279-E8B3-4402-922D-DA72FD085F98}"/>
  </bookViews>
  <sheets>
    <sheet name="BOM" sheetId="4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4" i="4"/>
  <c r="B29" i="4"/>
  <c r="B26" i="4"/>
  <c r="B25" i="4"/>
  <c r="B24" i="4"/>
  <c r="B23" i="4"/>
  <c r="B28" i="4"/>
  <c r="B22" i="4"/>
  <c r="C19" i="4"/>
  <c r="C1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20" i="4"/>
  <c r="C21" i="4"/>
  <c r="C27" i="4"/>
  <c r="C30" i="4"/>
  <c r="C31" i="4"/>
  <c r="C32" i="4"/>
  <c r="C33" i="4"/>
  <c r="C34" i="4"/>
  <c r="C35" i="4"/>
  <c r="C36" i="4"/>
  <c r="C37" i="4"/>
  <c r="C2" i="4"/>
</calcChain>
</file>

<file path=xl/sharedStrings.xml><?xml version="1.0" encoding="utf-8"?>
<sst xmlns="http://schemas.openxmlformats.org/spreadsheetml/2006/main" count="119" uniqueCount="86">
  <si>
    <t>banana plug 2mm pair 10pcs</t>
  </si>
  <si>
    <t>0.96inch flex oled 3pcs</t>
  </si>
  <si>
    <t>m2.5 thin nut 50pcs</t>
  </si>
  <si>
    <t>What</t>
  </si>
  <si>
    <t>PLN to USD conversion rate</t>
  </si>
  <si>
    <t>Sum in USD:</t>
  </si>
  <si>
    <t>Sum in PLN:</t>
  </si>
  <si>
    <t>Cost in PLN</t>
  </si>
  <si>
    <t>Cost in USD</t>
  </si>
  <si>
    <t>Comment (if needed)</t>
  </si>
  <si>
    <t>screws m2x16mm buttonhead</t>
  </si>
  <si>
    <t>screws m3x4mm buttonhead</t>
  </si>
  <si>
    <t>screws m3x5 countersunk</t>
  </si>
  <si>
    <r>
      <t xml:space="preserve">electronic parts have tendencies to burn </t>
    </r>
    <r>
      <rPr>
        <i/>
        <sz val="11"/>
        <color theme="1"/>
        <rFont val="Aptos Narrow"/>
        <family val="2"/>
        <scheme val="minor"/>
      </rPr>
      <t>easily</t>
    </r>
  </si>
  <si>
    <t>flange bearing 6x10x3mm</t>
  </si>
  <si>
    <t>needle bearing HK0607 6x10x7mm</t>
  </si>
  <si>
    <t>Where to buy</t>
  </si>
  <si>
    <t>Aliexpress</t>
  </si>
  <si>
    <t>two pololu 37d gearboxes 19:1</t>
  </si>
  <si>
    <t>knockoff from ali, its hella cheaper -  i have used similiar in my previous robot</t>
  </si>
  <si>
    <t>10t 2.28 0.5M brass gear for motor</t>
  </si>
  <si>
    <t>screws M2.5x8mm flathead</t>
  </si>
  <si>
    <t>grub screws m3x5mm</t>
  </si>
  <si>
    <t>screws M2.5x6mm flathead</t>
  </si>
  <si>
    <t>for mounting line sensors</t>
  </si>
  <si>
    <t>for mounting PCBs</t>
  </si>
  <si>
    <t>for mounting wheels</t>
  </si>
  <si>
    <t>gearboxes</t>
  </si>
  <si>
    <t>wheeeeeeee… i love when it is efficient</t>
  </si>
  <si>
    <t>to secure PCBs</t>
  </si>
  <si>
    <t>for motors and main power</t>
  </si>
  <si>
    <t>for sharp from</t>
  </si>
  <si>
    <t>for mounting distance sensors</t>
  </si>
  <si>
    <t>for mounting metal front</t>
  </si>
  <si>
    <t>to make gearboxes slide easier</t>
  </si>
  <si>
    <t>m2.5x6x0.1mm washer</t>
  </si>
  <si>
    <t>3psc of dc motors (one more, beacuse it will burn i am worried)</t>
  </si>
  <si>
    <t>Lasercut locally</t>
  </si>
  <si>
    <t>1mm sturdy metal front - laser cut</t>
  </si>
  <si>
    <t>i found cheap offer locally</t>
  </si>
  <si>
    <t>PCBs 4 layer</t>
  </si>
  <si>
    <t>2 motors 1 controller</t>
  </si>
  <si>
    <t>gearboxes, mounts</t>
  </si>
  <si>
    <t>one may go dull at the competition. A sumo robot with dull plow is a robot who already lost…</t>
  </si>
  <si>
    <t>silicone shore 10A for wheels</t>
  </si>
  <si>
    <t>Allegro (polish marketplace)</t>
  </si>
  <si>
    <t>good silicone wheels</t>
  </si>
  <si>
    <t>M3, M2.5, M2 tap</t>
  </si>
  <si>
    <t>Tapping via JCL i like adding a lot of money</t>
  </si>
  <si>
    <t>JCL shipping</t>
  </si>
  <si>
    <t>JLC</t>
  </si>
  <si>
    <t>i dont know, but i think it will be not-so-cheap type of shipping</t>
  </si>
  <si>
    <t>Fan for cooling (yup. In the robot) 2pcs</t>
  </si>
  <si>
    <t>17x17x3mm cooling fan, i know its small. Short life span, so thats why 2 pcs.</t>
  </si>
  <si>
    <t>slicon wires awg17</t>
  </si>
  <si>
    <t xml:space="preserve"> for motors and power, black and red</t>
  </si>
  <si>
    <t>cheap hubs from aliexpress.</t>
  </si>
  <si>
    <t xml:space="preserve"> I am worried that my DIY BJ ones may be not aligned very well</t>
  </si>
  <si>
    <t>awg32 wires</t>
  </si>
  <si>
    <t>for sensors</t>
  </si>
  <si>
    <t>like MCU, connector, buck conv, MOSFETs… Letme know if anyone need exact BOM here</t>
  </si>
  <si>
    <t>Electronic parts (for example: stm32H5, CAN transreciver, IMU)</t>
  </si>
  <si>
    <t>DigiKey (cheapest here)</t>
  </si>
  <si>
    <t>Botland (pretty cheap shop in PL)</t>
  </si>
  <si>
    <t>Fast laser distance sensors 5pcs</t>
  </si>
  <si>
    <t>RS-385 dc motor 3 pcs</t>
  </si>
  <si>
    <t>1mm sturdy metal back - laser cut</t>
  </si>
  <si>
    <t>2mm metal ceil - laser cut</t>
  </si>
  <si>
    <t>MJF gearboxes - 1kg weight class</t>
  </si>
  <si>
    <t>MJF wheel hubs</t>
  </si>
  <si>
    <t>for wheels and axes</t>
  </si>
  <si>
    <t>Nylon SLS gearboxes - 0.5kg weight class</t>
  </si>
  <si>
    <t>Nylon SLS rims for wheels</t>
  </si>
  <si>
    <t>Whellie wheels</t>
  </si>
  <si>
    <t>Moer lightweight but less rigid</t>
  </si>
  <si>
    <t>other Nylon SLS parts, PCB holder etc</t>
  </si>
  <si>
    <t>motor drivers pcb holder, bearings holder</t>
  </si>
  <si>
    <t>MJF steel front part</t>
  </si>
  <si>
    <t>as sturdy as one could get</t>
  </si>
  <si>
    <t>CNC front plow/wedge, steel alloy, blackening. I recommend 2 pcc</t>
  </si>
  <si>
    <t>JLC -10 bucks cupon</t>
  </si>
  <si>
    <t>I wanted to include it lol</t>
  </si>
  <si>
    <t>Not-so-cheap, but cracy fast and crazy accurate. I recommend +1 pcs beacuse you can burn them easly</t>
  </si>
  <si>
    <t>My friends time, spent painting ceil to be pretty</t>
  </si>
  <si>
    <t>priceless</t>
  </si>
  <si>
    <t>friends which leave nearby c.o.o.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</si>
</sst>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3" xfId="0" applyFont="1" applyBorder="1"/>
    <xf numFmtId="0" fontId="2" fillId="0" borderId="5" xfId="0" applyFont="1" applyBorder="1"/>
    <xf numFmtId="0" fontId="2" fillId="0" borderId="1" xfId="0" applyFont="1" applyBorder="1"/>
    <xf numFmtId="2" fontId="0" fillId="0" borderId="6" xfId="0" applyNumberFormat="1" applyBorder="1"/>
    <xf numFmtId="2" fontId="0" fillId="0" borderId="4" xfId="0" applyNumberFormat="1" applyBorder="1"/>
    <xf numFmtId="164" fontId="0" fillId="0" borderId="2" xfId="0" applyNumberFormat="1" applyBorder="1"/>
    <xf numFmtId="2" fontId="0" fillId="0" borderId="7" xfId="0" applyNumberFormat="1" applyBorder="1"/>
    <xf numFmtId="2" fontId="5" fillId="0" borderId="7" xfId="0" applyNumberFormat="1" applyFont="1" applyBorder="1"/>
    <xf numFmtId="0" fontId="0" fillId="0" borderId="8" xfId="0" applyBorder="1" applyAlignment="1">
      <alignment horizontal="center"/>
    </xf>
    <xf numFmtId="0" fontId="0" fillId="0" borderId="7" xfId="0" applyBorder="1"/>
    <xf numFmtId="2" fontId="0" fillId="0" borderId="8" xfId="0" applyNumberFormat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/>
    <xf numFmtId="2" fontId="0" fillId="0" borderId="10" xfId="0" applyNumberFormat="1" applyBorder="1"/>
    <xf numFmtId="2" fontId="1" fillId="0" borderId="10" xfId="0" applyNumberFormat="1" applyFont="1" applyBorder="1"/>
    <xf numFmtId="0" fontId="1" fillId="0" borderId="9" xfId="0" applyFont="1" applyBorder="1" applyAlignment="1">
      <alignment wrapText="1"/>
    </xf>
    <xf numFmtId="0" fontId="0" fillId="0" borderId="10" xfId="0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5" fillId="0" borderId="7" xfId="0" applyFont="1" applyBorder="1"/>
  </cellXfs>
  <cellStyles count="1">
    <cellStyle name="Normal" xfId="0" builtinId="0"/>
  </cellStyles>
  <dxfs count="6"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314325</xdr:colOff>
      <xdr:row>7</xdr:row>
      <xdr:rowOff>47027</xdr:rowOff>
    </xdr:from>
    <xdr:to>
      <xdr:col>9</xdr:col>
      <xdr:colOff>342900</xdr:colOff>
      <xdr:row>21</xdr:row>
      <xdr:rowOff>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A84108-E8EB-5C8F-C906-E029D3474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125" y="1409102"/>
          <a:ext cx="3152775" cy="26207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FC003-3ECE-490E-8BFB-00AE78A6C921}" name="Table1" displayName="Table1" ref="A1:E1048576" totalsRowShown="0" headerRowBorderDxfId="5">
  <autoFilter ref="A1:E1048576" xr:uid="{ADEFC003-3ECE-490E-8BFB-00AE78A6C921}"/>
  <tableColumns count="5">
    <tableColumn id="1" xr3:uid="{C846A738-6CD5-4EEA-A213-6ABC5EEC35D3}" name="What" dataDxfId="0"/>
    <tableColumn id="2" xr3:uid="{099FC836-4D16-4DCA-9FBD-D0D34ACB6948}" name="Cost in PLN" dataDxfId="1"/>
    <tableColumn id="3" xr3:uid="{77D6C98E-6D39-4446-BD42-BC46D35DB797}" name="Cost in USD" dataDxfId="2"/>
    <tableColumn id="4" xr3:uid="{1E0DC335-9E61-4E69-A61F-8DE1AE92EA62}" name="Where to buy" dataDxfId="3"/>
    <tableColumn id="5" xr3:uid="{9414348B-7AFA-4FBE-912C-B3D89114E8C4}" name="Comment (if needed)" dataDxfId="4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B0EA-FD67-41B9-8CE3-61AA3DD76543}">
  <dimension ref="A1:I39"/>
  <sheetViews>
    <sheetView tabSelected="1" topLeftCell="A6" workbookViewId="0">
      <selection activeCell="H24" sqref="H24"/>
    </sheetView>
  </sheetViews>
  <sheetFormatPr defaultRowHeight="15" x14ac:dyDescent="0.25"/>
  <cols>
    <col min="1" max="1" width="62.42578125" style="10" customWidth="1"/>
    <col min="2" max="2" width="16.85546875" style="7" customWidth="1"/>
    <col min="3" max="3" width="19.28515625" style="7" customWidth="1"/>
    <col min="4" max="4" width="31.85546875" style="7" customWidth="1"/>
    <col min="5" max="5" width="111" style="10" customWidth="1"/>
    <col min="8" max="8" width="26" customWidth="1"/>
    <col min="9" max="9" width="11.7109375" customWidth="1"/>
  </cols>
  <sheetData>
    <row r="1" spans="1:9" ht="15.75" thickBot="1" x14ac:dyDescent="0.3">
      <c r="A1" s="9" t="s">
        <v>3</v>
      </c>
      <c r="B1" s="12" t="s">
        <v>7</v>
      </c>
      <c r="C1" s="12" t="s">
        <v>8</v>
      </c>
      <c r="D1" s="11" t="s">
        <v>16</v>
      </c>
      <c r="E1" s="9" t="s">
        <v>9</v>
      </c>
      <c r="H1" s="3" t="s">
        <v>4</v>
      </c>
    </row>
    <row r="2" spans="1:9" ht="15.75" thickBot="1" x14ac:dyDescent="0.3">
      <c r="A2" s="16" t="s">
        <v>11</v>
      </c>
      <c r="B2" s="13">
        <v>5.05</v>
      </c>
      <c r="C2" s="7">
        <f t="shared" ref="C2:C21" si="0">B2/$H$2</f>
        <v>1.3869815984619609</v>
      </c>
      <c r="D2" s="7" t="s">
        <v>17</v>
      </c>
      <c r="E2" s="10" t="s">
        <v>33</v>
      </c>
      <c r="H2" s="6">
        <v>3.641</v>
      </c>
    </row>
    <row r="3" spans="1:9" ht="15.75" thickBot="1" x14ac:dyDescent="0.3">
      <c r="A3" s="17" t="s">
        <v>10</v>
      </c>
      <c r="B3" s="14">
        <v>5.79</v>
      </c>
      <c r="C3" s="7">
        <f t="shared" si="0"/>
        <v>1.5902224663553968</v>
      </c>
      <c r="D3" s="7" t="s">
        <v>17</v>
      </c>
      <c r="E3" s="10" t="s">
        <v>32</v>
      </c>
    </row>
    <row r="4" spans="1:9" x14ac:dyDescent="0.25">
      <c r="A4" s="17" t="s">
        <v>12</v>
      </c>
      <c r="B4" s="15">
        <v>6.91</v>
      </c>
      <c r="C4" s="7">
        <f t="shared" si="0"/>
        <v>1.8978302664103268</v>
      </c>
      <c r="D4" s="7" t="s">
        <v>17</v>
      </c>
      <c r="E4" s="10" t="s">
        <v>31</v>
      </c>
      <c r="H4" s="1" t="s">
        <v>5</v>
      </c>
      <c r="I4" s="5">
        <f>SUM(C:C)</f>
        <v>792.44533095303495</v>
      </c>
    </row>
    <row r="5" spans="1:9" ht="15.75" thickBot="1" x14ac:dyDescent="0.3">
      <c r="A5" s="18" t="s">
        <v>0</v>
      </c>
      <c r="B5" s="15">
        <v>7.89</v>
      </c>
      <c r="C5" s="7">
        <f t="shared" si="0"/>
        <v>2.1669870914583904</v>
      </c>
      <c r="D5" s="7" t="s">
        <v>17</v>
      </c>
      <c r="E5" s="10" t="s">
        <v>30</v>
      </c>
      <c r="H5" s="2" t="s">
        <v>6</v>
      </c>
      <c r="I5" s="4">
        <f>SUM(B:B)</f>
        <v>2921.70345</v>
      </c>
    </row>
    <row r="6" spans="1:9" x14ac:dyDescent="0.25">
      <c r="A6" s="18" t="s">
        <v>1</v>
      </c>
      <c r="B6" s="15">
        <v>19.77</v>
      </c>
      <c r="C6" s="7">
        <f t="shared" si="0"/>
        <v>5.4298269706124689</v>
      </c>
      <c r="D6" s="7" t="s">
        <v>17</v>
      </c>
      <c r="E6" s="10" t="s">
        <v>13</v>
      </c>
    </row>
    <row r="7" spans="1:9" x14ac:dyDescent="0.25">
      <c r="A7" s="18" t="s">
        <v>2</v>
      </c>
      <c r="B7" s="14">
        <v>3.35</v>
      </c>
      <c r="C7" s="7">
        <f t="shared" si="0"/>
        <v>0.92007690195001379</v>
      </c>
      <c r="D7" s="7" t="s">
        <v>17</v>
      </c>
      <c r="E7" s="10" t="s">
        <v>29</v>
      </c>
    </row>
    <row r="8" spans="1:9" x14ac:dyDescent="0.25">
      <c r="A8" s="18" t="s">
        <v>15</v>
      </c>
      <c r="B8" s="14">
        <v>14.49</v>
      </c>
      <c r="C8" s="7">
        <f t="shared" si="0"/>
        <v>3.9796759132106563</v>
      </c>
      <c r="D8" s="7" t="s">
        <v>17</v>
      </c>
      <c r="E8" s="10" t="s">
        <v>28</v>
      </c>
    </row>
    <row r="9" spans="1:9" x14ac:dyDescent="0.25">
      <c r="A9" s="18" t="s">
        <v>14</v>
      </c>
      <c r="B9" s="14">
        <v>18.510000000000002</v>
      </c>
      <c r="C9" s="7">
        <f t="shared" si="0"/>
        <v>5.0837681955506735</v>
      </c>
      <c r="D9" s="7" t="s">
        <v>17</v>
      </c>
      <c r="E9" s="10" t="s">
        <v>28</v>
      </c>
    </row>
    <row r="10" spans="1:9" x14ac:dyDescent="0.25">
      <c r="A10" s="10" t="s">
        <v>18</v>
      </c>
      <c r="B10" s="7">
        <v>44.82</v>
      </c>
      <c r="C10" s="7">
        <f t="shared" si="0"/>
        <v>12.309804998626751</v>
      </c>
      <c r="D10" s="7" t="s">
        <v>17</v>
      </c>
      <c r="E10" s="10" t="s">
        <v>19</v>
      </c>
    </row>
    <row r="11" spans="1:9" x14ac:dyDescent="0.25">
      <c r="A11" s="18" t="s">
        <v>20</v>
      </c>
      <c r="B11" s="14">
        <v>14.78</v>
      </c>
      <c r="C11" s="7">
        <f t="shared" si="0"/>
        <v>4.059324361439165</v>
      </c>
      <c r="D11" s="7" t="s">
        <v>17</v>
      </c>
      <c r="E11" s="10" t="s">
        <v>27</v>
      </c>
    </row>
    <row r="12" spans="1:9" x14ac:dyDescent="0.25">
      <c r="A12" s="18" t="s">
        <v>21</v>
      </c>
      <c r="B12" s="14">
        <v>5.68</v>
      </c>
      <c r="C12" s="7">
        <f t="shared" si="0"/>
        <v>1.560010985992859</v>
      </c>
      <c r="D12" s="7" t="s">
        <v>17</v>
      </c>
      <c r="E12" s="10" t="s">
        <v>24</v>
      </c>
    </row>
    <row r="13" spans="1:9" x14ac:dyDescent="0.25">
      <c r="A13" s="18" t="s">
        <v>22</v>
      </c>
      <c r="B13" s="14">
        <v>5</v>
      </c>
      <c r="C13" s="7">
        <f t="shared" si="0"/>
        <v>1.3732491073880801</v>
      </c>
      <c r="D13" s="7" t="s">
        <v>17</v>
      </c>
      <c r="E13" s="10" t="s">
        <v>26</v>
      </c>
    </row>
    <row r="14" spans="1:9" x14ac:dyDescent="0.25">
      <c r="A14" s="18" t="s">
        <v>23</v>
      </c>
      <c r="B14" s="14">
        <v>5.44</v>
      </c>
      <c r="C14" s="7">
        <f t="shared" si="0"/>
        <v>1.4940950288382313</v>
      </c>
      <c r="D14" s="7" t="s">
        <v>17</v>
      </c>
      <c r="E14" s="10" t="s">
        <v>25</v>
      </c>
    </row>
    <row r="15" spans="1:9" x14ac:dyDescent="0.25">
      <c r="A15" s="18" t="s">
        <v>35</v>
      </c>
      <c r="B15" s="14">
        <v>7.14</v>
      </c>
      <c r="C15" s="7">
        <f t="shared" si="0"/>
        <v>1.9609997253501785</v>
      </c>
      <c r="D15" s="7" t="s">
        <v>17</v>
      </c>
      <c r="E15" s="10" t="s">
        <v>34</v>
      </c>
    </row>
    <row r="16" spans="1:9" x14ac:dyDescent="0.25">
      <c r="A16" s="18" t="s">
        <v>65</v>
      </c>
      <c r="B16" s="14">
        <v>45.96</v>
      </c>
      <c r="C16" s="7">
        <f t="shared" si="0"/>
        <v>12.622905795111233</v>
      </c>
      <c r="D16" s="7" t="s">
        <v>17</v>
      </c>
      <c r="E16" s="10" t="s">
        <v>36</v>
      </c>
    </row>
    <row r="17" spans="1:5" x14ac:dyDescent="0.25">
      <c r="A17" s="17" t="s">
        <v>38</v>
      </c>
      <c r="B17" s="14">
        <v>30</v>
      </c>
      <c r="C17" s="7">
        <f t="shared" si="0"/>
        <v>8.2394946443284809</v>
      </c>
      <c r="D17" s="7" t="s">
        <v>37</v>
      </c>
      <c r="E17" s="10" t="s">
        <v>39</v>
      </c>
    </row>
    <row r="18" spans="1:5" x14ac:dyDescent="0.25">
      <c r="A18" s="10" t="s">
        <v>66</v>
      </c>
      <c r="B18" s="14">
        <v>30</v>
      </c>
      <c r="C18" s="7">
        <f t="shared" si="0"/>
        <v>8.2394946443284809</v>
      </c>
      <c r="D18" s="7" t="s">
        <v>37</v>
      </c>
      <c r="E18" s="10" t="s">
        <v>39</v>
      </c>
    </row>
    <row r="19" spans="1:5" x14ac:dyDescent="0.25">
      <c r="A19" s="10" t="s">
        <v>67</v>
      </c>
      <c r="B19" s="7">
        <v>30</v>
      </c>
      <c r="C19" s="7">
        <f t="shared" si="0"/>
        <v>8.2394946443284809</v>
      </c>
      <c r="D19" s="7" t="s">
        <v>37</v>
      </c>
      <c r="E19" s="10" t="s">
        <v>39</v>
      </c>
    </row>
    <row r="20" spans="1:5" x14ac:dyDescent="0.25">
      <c r="A20" s="10" t="s">
        <v>40</v>
      </c>
      <c r="B20" s="7">
        <v>100</v>
      </c>
      <c r="C20" s="7">
        <f t="shared" si="0"/>
        <v>27.464982147761603</v>
      </c>
      <c r="D20" s="7" t="s">
        <v>50</v>
      </c>
      <c r="E20" s="10" t="s">
        <v>41</v>
      </c>
    </row>
    <row r="21" spans="1:5" x14ac:dyDescent="0.25">
      <c r="A21" s="19" t="s">
        <v>68</v>
      </c>
      <c r="B21" s="7">
        <v>220</v>
      </c>
      <c r="C21" s="7">
        <f t="shared" si="0"/>
        <v>60.422960725075527</v>
      </c>
      <c r="D21" s="7" t="s">
        <v>50</v>
      </c>
      <c r="E21" s="10" t="s">
        <v>42</v>
      </c>
    </row>
    <row r="22" spans="1:5" x14ac:dyDescent="0.25">
      <c r="A22" s="10" t="s">
        <v>69</v>
      </c>
      <c r="B22" s="7">
        <f>#REF!*$H$2</f>
        <v>54.615000000000002</v>
      </c>
      <c r="C22" s="7">
        <v>15</v>
      </c>
      <c r="D22" s="7" t="s">
        <v>50</v>
      </c>
      <c r="E22" s="7" t="s">
        <v>70</v>
      </c>
    </row>
    <row r="23" spans="1:5" x14ac:dyDescent="0.25">
      <c r="A23" s="10" t="s">
        <v>71</v>
      </c>
      <c r="B23" s="7">
        <f>#REF!*$H$2</f>
        <v>29.128</v>
      </c>
      <c r="C23" s="7">
        <v>8</v>
      </c>
      <c r="D23" s="7" t="s">
        <v>50</v>
      </c>
      <c r="E23" s="7" t="s">
        <v>74</v>
      </c>
    </row>
    <row r="24" spans="1:5" x14ac:dyDescent="0.25">
      <c r="A24" s="10" t="s">
        <v>72</v>
      </c>
      <c r="B24" s="7">
        <f>#REF!*$H$2</f>
        <v>14.564</v>
      </c>
      <c r="C24" s="7">
        <v>4</v>
      </c>
      <c r="D24" s="7" t="s">
        <v>50</v>
      </c>
      <c r="E24" s="7" t="s">
        <v>73</v>
      </c>
    </row>
    <row r="25" spans="1:5" x14ac:dyDescent="0.25">
      <c r="A25" s="10" t="s">
        <v>75</v>
      </c>
      <c r="B25" s="7">
        <f>#REF!*$H$2</f>
        <v>14.564</v>
      </c>
      <c r="C25" s="7">
        <v>4</v>
      </c>
      <c r="D25" s="7" t="s">
        <v>50</v>
      </c>
      <c r="E25" s="7" t="s">
        <v>76</v>
      </c>
    </row>
    <row r="26" spans="1:5" x14ac:dyDescent="0.25">
      <c r="A26" s="20" t="s">
        <v>77</v>
      </c>
      <c r="B26" s="7">
        <f>#REF!*$H$2</f>
        <v>143.63745</v>
      </c>
      <c r="C26" s="7">
        <v>39.450000000000003</v>
      </c>
      <c r="D26" s="7" t="s">
        <v>50</v>
      </c>
      <c r="E26" s="7" t="s">
        <v>78</v>
      </c>
    </row>
    <row r="27" spans="1:5" x14ac:dyDescent="0.25">
      <c r="A27" s="20" t="s">
        <v>79</v>
      </c>
      <c r="B27" s="7">
        <v>280</v>
      </c>
      <c r="C27" s="7">
        <f>B27/$H$2</f>
        <v>76.901950013732488</v>
      </c>
      <c r="D27" s="7" t="s">
        <v>50</v>
      </c>
      <c r="E27" s="7" t="s">
        <v>43</v>
      </c>
    </row>
    <row r="28" spans="1:5" x14ac:dyDescent="0.25">
      <c r="A28" s="10" t="s">
        <v>49</v>
      </c>
      <c r="B28" s="7">
        <f>#REF!*H2</f>
        <v>54.615000000000002</v>
      </c>
      <c r="C28" s="7">
        <v>15</v>
      </c>
      <c r="D28" s="7" t="s">
        <v>50</v>
      </c>
      <c r="E28" s="7" t="s">
        <v>51</v>
      </c>
    </row>
    <row r="29" spans="1:5" x14ac:dyDescent="0.25">
      <c r="A29" s="10" t="s">
        <v>80</v>
      </c>
      <c r="B29" s="7">
        <f>#REF!*H3</f>
        <v>0</v>
      </c>
      <c r="C29" s="7">
        <v>-10</v>
      </c>
      <c r="D29" s="7" t="s">
        <v>50</v>
      </c>
      <c r="E29" s="7" t="s">
        <v>81</v>
      </c>
    </row>
    <row r="30" spans="1:5" x14ac:dyDescent="0.25">
      <c r="A30" s="10" t="s">
        <v>44</v>
      </c>
      <c r="B30" s="7">
        <v>50</v>
      </c>
      <c r="C30" s="7">
        <f t="shared" ref="C30:C37" si="1">B30/$H$2</f>
        <v>13.732491073880801</v>
      </c>
      <c r="D30" s="7" t="s">
        <v>45</v>
      </c>
      <c r="E30" s="7" t="s">
        <v>46</v>
      </c>
    </row>
    <row r="31" spans="1:5" x14ac:dyDescent="0.25">
      <c r="A31" s="10" t="s">
        <v>47</v>
      </c>
      <c r="B31" s="7">
        <v>45</v>
      </c>
      <c r="C31" s="7">
        <f t="shared" si="1"/>
        <v>12.359241966492721</v>
      </c>
      <c r="D31" s="7" t="s">
        <v>17</v>
      </c>
      <c r="E31" s="7" t="s">
        <v>48</v>
      </c>
    </row>
    <row r="32" spans="1:5" x14ac:dyDescent="0.25">
      <c r="A32" s="10" t="s">
        <v>52</v>
      </c>
      <c r="B32" s="7">
        <v>50</v>
      </c>
      <c r="C32" s="7">
        <f t="shared" si="1"/>
        <v>13.732491073880801</v>
      </c>
      <c r="D32" s="7" t="s">
        <v>17</v>
      </c>
      <c r="E32" s="7" t="s">
        <v>53</v>
      </c>
    </row>
    <row r="33" spans="1:5" x14ac:dyDescent="0.25">
      <c r="A33" s="10" t="s">
        <v>54</v>
      </c>
      <c r="B33" s="7">
        <v>20</v>
      </c>
      <c r="C33" s="7">
        <f t="shared" si="1"/>
        <v>5.4929964295523206</v>
      </c>
      <c r="D33" s="7" t="s">
        <v>17</v>
      </c>
      <c r="E33" s="7" t="s">
        <v>55</v>
      </c>
    </row>
    <row r="34" spans="1:5" x14ac:dyDescent="0.25">
      <c r="A34" s="10" t="s">
        <v>56</v>
      </c>
      <c r="B34" s="7">
        <v>25</v>
      </c>
      <c r="C34" s="7">
        <f t="shared" si="1"/>
        <v>6.8662455369404007</v>
      </c>
      <c r="D34" s="7" t="s">
        <v>17</v>
      </c>
      <c r="E34" s="7" t="s">
        <v>57</v>
      </c>
    </row>
    <row r="35" spans="1:5" x14ac:dyDescent="0.25">
      <c r="A35" s="10" t="s">
        <v>58</v>
      </c>
      <c r="B35" s="7">
        <v>20</v>
      </c>
      <c r="C35" s="7">
        <f t="shared" si="1"/>
        <v>5.4929964295523206</v>
      </c>
      <c r="D35" s="7" t="s">
        <v>17</v>
      </c>
      <c r="E35" s="7" t="s">
        <v>59</v>
      </c>
    </row>
    <row r="36" spans="1:5" x14ac:dyDescent="0.25">
      <c r="A36" s="10" t="s">
        <v>61</v>
      </c>
      <c r="B36" s="7">
        <v>1000</v>
      </c>
      <c r="C36" s="7">
        <f t="shared" si="1"/>
        <v>274.64982147761606</v>
      </c>
      <c r="D36" s="7" t="s">
        <v>62</v>
      </c>
      <c r="E36" s="7" t="s">
        <v>60</v>
      </c>
    </row>
    <row r="37" spans="1:5" x14ac:dyDescent="0.25">
      <c r="A37" s="10" t="s">
        <v>64</v>
      </c>
      <c r="B37" s="7">
        <v>500</v>
      </c>
      <c r="C37" s="7">
        <f t="shared" si="1"/>
        <v>137.32491073880803</v>
      </c>
      <c r="D37" s="7" t="s">
        <v>63</v>
      </c>
      <c r="E37" s="7" t="s">
        <v>82</v>
      </c>
    </row>
    <row r="38" spans="1:5" x14ac:dyDescent="0.25">
      <c r="A38" s="21" t="s">
        <v>83</v>
      </c>
      <c r="B38" s="7">
        <v>0</v>
      </c>
      <c r="C38" s="7">
        <v>0</v>
      </c>
      <c r="D38" s="7" t="s">
        <v>85</v>
      </c>
      <c r="E38" s="8" t="s">
        <v>84</v>
      </c>
    </row>
    <row r="39" spans="1:5" x14ac:dyDescent="0.25">
      <c r="E39" s="7"/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Filipkowski</dc:creator>
  <cp:lastModifiedBy>Szymon Filipkowski</cp:lastModifiedBy>
  <dcterms:created xsi:type="dcterms:W3CDTF">2026-04-08T20:18:48Z</dcterms:created>
  <dcterms:modified xsi:type="dcterms:W3CDTF">2026-05-14T14:43:50Z</dcterms:modified>
</cp:coreProperties>
</file>