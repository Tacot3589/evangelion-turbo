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3B5CA423-BB99-4669-B6DD-E35BF87614E7}" xr6:coauthVersionLast="47" xr6:coauthVersionMax="47" xr10:uidLastSave="{00000000-0000-0000-0000-000000000000}"/>
  <bookViews>
    <workbookView xWindow="-120" yWindow="480" windowWidth="38640" windowHeight="21240" xr2:uid="{C42FA279-E8B3-4402-922D-DA72FD085F98}"/>
  </bookViews>
  <sheets>
    <sheet name="BOM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2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44" i="4"/>
  <c r="C45" i="4"/>
  <c r="C46" i="4"/>
  <c r="C47" i="4"/>
  <c r="C48" i="4"/>
  <c r="I5" i="4"/>
  <c r="I4" i="4"/>
</calcChain>
</file>

<file path=xl/sharedStrings.xml><?xml version="1.0" encoding="utf-8"?>
<sst xmlns="http://schemas.openxmlformats.org/spreadsheetml/2006/main" count="101" uniqueCount="79">
  <si>
    <t>banana plug 2mm pair 10pcs</t>
  </si>
  <si>
    <t>0.96inch flex oled 3pcs</t>
  </si>
  <si>
    <t>m2.5 thin nut 50pcs</t>
  </si>
  <si>
    <t>What</t>
  </si>
  <si>
    <t>PLN to USD conversion rate</t>
  </si>
  <si>
    <t>Sum in USD:</t>
  </si>
  <si>
    <t>Sum in PLN:</t>
  </si>
  <si>
    <t>Cost in PLN</t>
  </si>
  <si>
    <t>Cost in USD</t>
  </si>
  <si>
    <t>Comment (if needed)</t>
  </si>
  <si>
    <t>screws m2x16mm buttonhead</t>
  </si>
  <si>
    <t>screws m3x4mm buttonhead</t>
  </si>
  <si>
    <t>screws m3x5 countersunk</t>
  </si>
  <si>
    <r>
      <t xml:space="preserve">electronic parts have tendencies to burn </t>
    </r>
    <r>
      <rPr>
        <i/>
        <sz val="11"/>
        <color theme="1"/>
        <rFont val="Aptos Narrow"/>
        <family val="2"/>
        <scheme val="minor"/>
      </rPr>
      <t>easily</t>
    </r>
  </si>
  <si>
    <t>flange bearing 6x10x3mm</t>
  </si>
  <si>
    <t>needle bearing HK0607 6x10x7mm</t>
  </si>
  <si>
    <t>Where to buy</t>
  </si>
  <si>
    <t>Aliexpress</t>
  </si>
  <si>
    <t>two pololu 37d gearboxes 19:1</t>
  </si>
  <si>
    <t>knockoff from ali, its hella cheaper -  i have used similiar in my previous robot</t>
  </si>
  <si>
    <t>10t 2.28 0.5M brass gear for motor</t>
  </si>
  <si>
    <t>screws M2.5x8mm flathead</t>
  </si>
  <si>
    <t>grub screws m3x5mm</t>
  </si>
  <si>
    <t>screws M2.5x6mm flathead</t>
  </si>
  <si>
    <t>for mounting line sensors</t>
  </si>
  <si>
    <t>for mounting PCBs</t>
  </si>
  <si>
    <t>for mounting wheels</t>
  </si>
  <si>
    <t>gearboxes</t>
  </si>
  <si>
    <t>wheeeeeeee… i love when it is efficient</t>
  </si>
  <si>
    <t>to secure PCBs</t>
  </si>
  <si>
    <t>for motors and main power</t>
  </si>
  <si>
    <t>for sharp from</t>
  </si>
  <si>
    <t>for mounting distance sensors</t>
  </si>
  <si>
    <t>for mounting metal front</t>
  </si>
  <si>
    <t>to make gearboxes slide easier</t>
  </si>
  <si>
    <t>m2.5x6x0.1mm washer</t>
  </si>
  <si>
    <t>3psc of dc motors (one more, beacuse it will burn i am worried)</t>
  </si>
  <si>
    <t>RS-385SH dc motor 3pcs</t>
  </si>
  <si>
    <t>Lasercut locally</t>
  </si>
  <si>
    <t>1mm sturdy metal front - laser cut</t>
  </si>
  <si>
    <t>i found cheap offer locally</t>
  </si>
  <si>
    <t>spring steel front (0.1mm thicl)</t>
  </si>
  <si>
    <t>i emailed about 6 companies locally - only one responded…</t>
  </si>
  <si>
    <t>PCBs 4 layer</t>
  </si>
  <si>
    <t>JLCPCB</t>
  </si>
  <si>
    <t>2 motors 1 controller</t>
  </si>
  <si>
    <t>BJ parts from metal</t>
  </si>
  <si>
    <t>JLC3DP</t>
  </si>
  <si>
    <t>gearboxes, mounts</t>
  </si>
  <si>
    <t>CNC Aluminium front part</t>
  </si>
  <si>
    <t>CNC front plow from hard steel 2 pieces</t>
  </si>
  <si>
    <t>JLCCNC</t>
  </si>
  <si>
    <t>hard to design tbh…</t>
  </si>
  <si>
    <t>one may go dull at the competition. A sumo robot with dull plow is a robot who already lost…</t>
  </si>
  <si>
    <t>silicone shore 10A for wheels</t>
  </si>
  <si>
    <t>Allegro (polish marketplace)</t>
  </si>
  <si>
    <t>good silicone wheels</t>
  </si>
  <si>
    <t>M3, M2.5, M2 tap</t>
  </si>
  <si>
    <t>Tapping via JCL i like adding a lot of money</t>
  </si>
  <si>
    <t>JCL shipping</t>
  </si>
  <si>
    <t>JLC</t>
  </si>
  <si>
    <t>i dont know, but i think it will be not-so-cheap type of shipping</t>
  </si>
  <si>
    <t>Fan for cooling (yup. In the robot) 2pcs</t>
  </si>
  <si>
    <t>17x17x3mm cooling fan, i know its small. Short life span, so thats why 2 pcs.</t>
  </si>
  <si>
    <t>slicon wires awg17</t>
  </si>
  <si>
    <t xml:space="preserve"> for motors and power, black and red</t>
  </si>
  <si>
    <t>cheap hubs from aliexpress.</t>
  </si>
  <si>
    <t xml:space="preserve"> I am worried that my DIY BJ ones may be not aligned very well</t>
  </si>
  <si>
    <t>awg32 wires</t>
  </si>
  <si>
    <t>for sensors</t>
  </si>
  <si>
    <t>I will rob most of the resistors and capacitors from by brother :)</t>
  </si>
  <si>
    <t>My brother</t>
  </si>
  <si>
    <t>He said it is okay tho :)</t>
  </si>
  <si>
    <t>like MCU, connector, buck conv, MOSFETs… Letme know if anyone need exact BOM here</t>
  </si>
  <si>
    <t>Electronic parts (for example: stm32H5, CAN transreciver, IMU)</t>
  </si>
  <si>
    <t>DigiKey (cheapest here)</t>
  </si>
  <si>
    <t>Botland (pretty cheap shop in PL)</t>
  </si>
  <si>
    <t>Fast laser distance sensors 5pcs</t>
  </si>
  <si>
    <t>crazy expensive. Cracy fast. Crazy accurate. I want to buy +1pcs beacuse im worried of issues at the competition abroad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</si>
</sst>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charset val="238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3" xfId="0" applyFont="1" applyBorder="1"/>
    <xf numFmtId="0" fontId="2" fillId="0" borderId="5" xfId="0" applyFont="1" applyBorder="1"/>
    <xf numFmtId="0" fontId="2" fillId="0" borderId="1" xfId="0" applyFont="1" applyBorder="1"/>
    <xf numFmtId="2" fontId="0" fillId="0" borderId="6" xfId="0" applyNumberFormat="1" applyBorder="1"/>
    <xf numFmtId="2" fontId="0" fillId="0" borderId="4" xfId="0" applyNumberFormat="1" applyBorder="1"/>
    <xf numFmtId="164" fontId="0" fillId="0" borderId="2" xfId="0" applyNumberFormat="1" applyBorder="1"/>
    <xf numFmtId="2" fontId="0" fillId="0" borderId="7" xfId="0" applyNumberFormat="1" applyBorder="1"/>
    <xf numFmtId="2" fontId="0" fillId="0" borderId="8" xfId="0" applyNumberFormat="1" applyBorder="1"/>
    <xf numFmtId="2" fontId="1" fillId="0" borderId="7" xfId="0" applyNumberFormat="1" applyFont="1" applyBorder="1"/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0" fontId="1" fillId="0" borderId="12" xfId="0" applyFont="1" applyBorder="1" applyAlignment="1">
      <alignment wrapText="1"/>
    </xf>
    <xf numFmtId="0" fontId="0" fillId="0" borderId="13" xfId="0" applyBorder="1" applyAlignment="1">
      <alignment wrapText="1"/>
    </xf>
    <xf numFmtId="0" fontId="1" fillId="0" borderId="13" xfId="0" applyFont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0" borderId="14" xfId="0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2" fontId="0" fillId="0" borderId="2" xfId="0" applyNumberFormat="1" applyBorder="1"/>
    <xf numFmtId="0" fontId="0" fillId="0" borderId="15" xfId="0" applyBorder="1" applyAlignment="1">
      <alignment horizontal="center"/>
    </xf>
  </cellXfs>
  <cellStyles count="1">
    <cellStyle name="Normal" xfId="0" builtinId="0"/>
  </cellStyles>
  <dxfs count="7">
    <dxf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border outline="0"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314325</xdr:colOff>
      <xdr:row>7</xdr:row>
      <xdr:rowOff>47027</xdr:rowOff>
    </xdr:from>
    <xdr:to>
      <xdr:col>9</xdr:col>
      <xdr:colOff>342900</xdr:colOff>
      <xdr:row>21</xdr:row>
      <xdr:rowOff>798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A84108-E8EB-5C8F-C906-E029D34749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16125" y="1409102"/>
          <a:ext cx="3152775" cy="262077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F83E0-4F5A-4DCE-B799-55AFFBAC1306}" name="Table1" displayName="Table1" ref="A1:E1048576" totalsRowShown="0" headerRowBorderDxfId="6" tableBorderDxfId="5">
  <autoFilter ref="A1:E1048576" xr:uid="{892F83E0-4F5A-4DCE-B799-55AFFBAC1306}"/>
  <tableColumns count="5">
    <tableColumn id="1" xr3:uid="{4C012F1F-09CC-4782-AB83-3B08A3F28665}" name="What" dataDxfId="4"/>
    <tableColumn id="2" xr3:uid="{C1C314BE-AF80-4F97-ADC6-98A693A7E132}" name="Cost in PLN" dataDxfId="3"/>
    <tableColumn id="3" xr3:uid="{C19B8432-EEA8-4DD7-AA5D-B07CD66BD721}" name="Cost in USD" dataDxfId="2"/>
    <tableColumn id="4" xr3:uid="{290D7BE8-0EE4-4B80-8641-0F9E56F7EC8A}" name="Where to buy" dataDxfId="1"/>
    <tableColumn id="5" xr3:uid="{DEB17377-0C21-4C91-A585-B5822B267936}" name="Comment (if needed)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B0EA-FD67-41B9-8CE3-61AA3DD76543}">
  <dimension ref="A1:I73"/>
  <sheetViews>
    <sheetView tabSelected="1" workbookViewId="0">
      <selection activeCell="D33" sqref="D33"/>
    </sheetView>
  </sheetViews>
  <sheetFormatPr defaultRowHeight="15" x14ac:dyDescent="0.25"/>
  <cols>
    <col min="1" max="1" width="59" style="16" customWidth="1"/>
    <col min="2" max="2" width="16.85546875" style="10" customWidth="1"/>
    <col min="3" max="3" width="18.85546875" style="8" customWidth="1"/>
    <col min="4" max="4" width="31.85546875" style="12" customWidth="1"/>
    <col min="5" max="5" width="106.85546875" style="17" customWidth="1"/>
    <col min="8" max="8" width="26" customWidth="1"/>
    <col min="9" max="9" width="11.7109375" customWidth="1"/>
  </cols>
  <sheetData>
    <row r="1" spans="1:9" ht="15.75" thickBot="1" x14ac:dyDescent="0.3">
      <c r="A1" s="18" t="s">
        <v>3</v>
      </c>
      <c r="B1" s="19" t="s">
        <v>7</v>
      </c>
      <c r="C1" s="20" t="s">
        <v>8</v>
      </c>
      <c r="D1" s="21" t="s">
        <v>16</v>
      </c>
      <c r="E1" s="22" t="s">
        <v>9</v>
      </c>
      <c r="H1" s="3" t="s">
        <v>4</v>
      </c>
    </row>
    <row r="2" spans="1:9" ht="15.75" thickBot="1" x14ac:dyDescent="0.3">
      <c r="A2" s="13" t="s">
        <v>11</v>
      </c>
      <c r="B2" s="11">
        <v>5.05</v>
      </c>
      <c r="C2" s="8">
        <f>B2/$H$2</f>
        <v>1.3869815984619609</v>
      </c>
      <c r="D2" s="12" t="s">
        <v>17</v>
      </c>
      <c r="E2" s="17" t="s">
        <v>33</v>
      </c>
      <c r="H2" s="6">
        <v>3.641</v>
      </c>
    </row>
    <row r="3" spans="1:9" ht="15.75" thickBot="1" x14ac:dyDescent="0.3">
      <c r="A3" s="14" t="s">
        <v>10</v>
      </c>
      <c r="B3" s="7">
        <v>5.79</v>
      </c>
      <c r="C3" s="8">
        <f t="shared" ref="C3:C43" si="0">B3/$H$2</f>
        <v>1.5902224663553968</v>
      </c>
      <c r="D3" s="12" t="s">
        <v>17</v>
      </c>
      <c r="E3" s="17" t="s">
        <v>32</v>
      </c>
    </row>
    <row r="4" spans="1:9" x14ac:dyDescent="0.25">
      <c r="A4" s="14" t="s">
        <v>12</v>
      </c>
      <c r="B4" s="9">
        <v>6.91</v>
      </c>
      <c r="C4" s="8">
        <f t="shared" si="0"/>
        <v>1.8978302664103268</v>
      </c>
      <c r="D4" s="12" t="s">
        <v>17</v>
      </c>
      <c r="E4" s="17" t="s">
        <v>31</v>
      </c>
      <c r="H4" s="1" t="s">
        <v>5</v>
      </c>
      <c r="I4" s="5">
        <f>SUM(#REF!)/H2</f>
        <v>791.15078275199119</v>
      </c>
    </row>
    <row r="5" spans="1:9" ht="15.75" thickBot="1" x14ac:dyDescent="0.3">
      <c r="A5" s="15" t="s">
        <v>0</v>
      </c>
      <c r="B5" s="9">
        <v>7.89</v>
      </c>
      <c r="C5" s="8">
        <f t="shared" si="0"/>
        <v>2.1669870914583904</v>
      </c>
      <c r="D5" s="12" t="s">
        <v>17</v>
      </c>
      <c r="E5" s="17" t="s">
        <v>30</v>
      </c>
      <c r="H5" s="2" t="s">
        <v>6</v>
      </c>
      <c r="I5" s="4">
        <f>SUM(#REF!)</f>
        <v>2880.58</v>
      </c>
    </row>
    <row r="6" spans="1:9" x14ac:dyDescent="0.25">
      <c r="A6" s="15" t="s">
        <v>1</v>
      </c>
      <c r="B6" s="9">
        <v>19.77</v>
      </c>
      <c r="C6" s="8">
        <f t="shared" si="0"/>
        <v>5.4298269706124689</v>
      </c>
      <c r="D6" s="12" t="s">
        <v>17</v>
      </c>
      <c r="E6" s="17" t="s">
        <v>13</v>
      </c>
    </row>
    <row r="7" spans="1:9" x14ac:dyDescent="0.25">
      <c r="A7" s="15" t="s">
        <v>2</v>
      </c>
      <c r="B7" s="7">
        <v>3.35</v>
      </c>
      <c r="C7" s="8">
        <f t="shared" si="0"/>
        <v>0.92007690195001379</v>
      </c>
      <c r="D7" s="12" t="s">
        <v>17</v>
      </c>
      <c r="E7" s="17" t="s">
        <v>29</v>
      </c>
    </row>
    <row r="8" spans="1:9" x14ac:dyDescent="0.25">
      <c r="A8" s="15" t="s">
        <v>15</v>
      </c>
      <c r="B8" s="7">
        <v>14.49</v>
      </c>
      <c r="C8" s="8">
        <f t="shared" si="0"/>
        <v>3.9796759132106563</v>
      </c>
      <c r="D8" s="12" t="s">
        <v>17</v>
      </c>
      <c r="E8" s="17" t="s">
        <v>28</v>
      </c>
    </row>
    <row r="9" spans="1:9" x14ac:dyDescent="0.25">
      <c r="A9" s="15" t="s">
        <v>14</v>
      </c>
      <c r="B9" s="7">
        <v>18.510000000000002</v>
      </c>
      <c r="C9" s="8">
        <f t="shared" si="0"/>
        <v>5.0837681955506735</v>
      </c>
      <c r="D9" s="12" t="s">
        <v>17</v>
      </c>
      <c r="E9" s="17" t="s">
        <v>28</v>
      </c>
    </row>
    <row r="10" spans="1:9" x14ac:dyDescent="0.25">
      <c r="A10" s="16" t="s">
        <v>18</v>
      </c>
      <c r="B10" s="10">
        <v>44.82</v>
      </c>
      <c r="C10" s="8">
        <f t="shared" si="0"/>
        <v>12.309804998626751</v>
      </c>
      <c r="D10" s="12" t="s">
        <v>17</v>
      </c>
      <c r="E10" s="17" t="s">
        <v>19</v>
      </c>
    </row>
    <row r="11" spans="1:9" x14ac:dyDescent="0.25">
      <c r="A11" s="15" t="s">
        <v>20</v>
      </c>
      <c r="B11" s="7">
        <v>14.78</v>
      </c>
      <c r="C11" s="8">
        <f t="shared" si="0"/>
        <v>4.059324361439165</v>
      </c>
      <c r="D11" s="12" t="s">
        <v>17</v>
      </c>
      <c r="E11" s="17" t="s">
        <v>27</v>
      </c>
    </row>
    <row r="12" spans="1:9" x14ac:dyDescent="0.25">
      <c r="A12" s="15" t="s">
        <v>21</v>
      </c>
      <c r="B12" s="7">
        <v>5.68</v>
      </c>
      <c r="C12" s="8">
        <f t="shared" si="0"/>
        <v>1.560010985992859</v>
      </c>
      <c r="D12" s="12" t="s">
        <v>17</v>
      </c>
      <c r="E12" s="17" t="s">
        <v>24</v>
      </c>
    </row>
    <row r="13" spans="1:9" x14ac:dyDescent="0.25">
      <c r="A13" s="15" t="s">
        <v>22</v>
      </c>
      <c r="B13" s="7">
        <v>5</v>
      </c>
      <c r="C13" s="8">
        <f t="shared" si="0"/>
        <v>1.3732491073880801</v>
      </c>
      <c r="D13" s="12" t="s">
        <v>17</v>
      </c>
      <c r="E13" s="17" t="s">
        <v>26</v>
      </c>
    </row>
    <row r="14" spans="1:9" x14ac:dyDescent="0.25">
      <c r="A14" s="15" t="s">
        <v>23</v>
      </c>
      <c r="B14" s="7">
        <v>5.44</v>
      </c>
      <c r="C14" s="8">
        <f t="shared" si="0"/>
        <v>1.4940950288382313</v>
      </c>
      <c r="D14" s="12" t="s">
        <v>17</v>
      </c>
      <c r="E14" s="17" t="s">
        <v>25</v>
      </c>
    </row>
    <row r="15" spans="1:9" x14ac:dyDescent="0.25">
      <c r="A15" s="15" t="s">
        <v>35</v>
      </c>
      <c r="B15" s="7">
        <v>7.14</v>
      </c>
      <c r="C15" s="8">
        <f t="shared" si="0"/>
        <v>1.9609997253501785</v>
      </c>
      <c r="D15" s="12" t="s">
        <v>17</v>
      </c>
      <c r="E15" s="17" t="s">
        <v>34</v>
      </c>
    </row>
    <row r="16" spans="1:9" x14ac:dyDescent="0.25">
      <c r="A16" s="15" t="s">
        <v>37</v>
      </c>
      <c r="B16" s="7">
        <v>45.96</v>
      </c>
      <c r="C16" s="8">
        <f t="shared" si="0"/>
        <v>12.622905795111233</v>
      </c>
      <c r="D16" s="12" t="s">
        <v>17</v>
      </c>
      <c r="E16" s="17" t="s">
        <v>36</v>
      </c>
    </row>
    <row r="17" spans="1:5" x14ac:dyDescent="0.25">
      <c r="A17" s="14" t="s">
        <v>39</v>
      </c>
      <c r="B17" s="7">
        <v>60</v>
      </c>
      <c r="C17" s="8">
        <f t="shared" si="0"/>
        <v>16.478989288656962</v>
      </c>
      <c r="D17" s="12" t="s">
        <v>38</v>
      </c>
      <c r="E17" s="17" t="s">
        <v>40</v>
      </c>
    </row>
    <row r="18" spans="1:5" x14ac:dyDescent="0.25">
      <c r="A18" s="16" t="s">
        <v>41</v>
      </c>
      <c r="B18" s="7">
        <v>150</v>
      </c>
      <c r="C18" s="8">
        <f t="shared" si="0"/>
        <v>41.197473221642404</v>
      </c>
      <c r="D18" s="12" t="s">
        <v>38</v>
      </c>
      <c r="E18" s="17" t="s">
        <v>42</v>
      </c>
    </row>
    <row r="19" spans="1:5" x14ac:dyDescent="0.25">
      <c r="A19" s="16" t="s">
        <v>43</v>
      </c>
      <c r="B19" s="10">
        <v>50</v>
      </c>
      <c r="C19" s="8">
        <f t="shared" si="0"/>
        <v>13.732491073880801</v>
      </c>
      <c r="D19" s="12" t="s">
        <v>44</v>
      </c>
      <c r="E19" s="17" t="s">
        <v>45</v>
      </c>
    </row>
    <row r="20" spans="1:5" x14ac:dyDescent="0.25">
      <c r="A20" s="15" t="s">
        <v>46</v>
      </c>
      <c r="B20" s="7">
        <v>250</v>
      </c>
      <c r="C20" s="8">
        <f t="shared" si="0"/>
        <v>68.662455369404015</v>
      </c>
      <c r="D20" s="12" t="s">
        <v>47</v>
      </c>
      <c r="E20" s="17" t="s">
        <v>48</v>
      </c>
    </row>
    <row r="21" spans="1:5" x14ac:dyDescent="0.25">
      <c r="A21" s="14" t="s">
        <v>49</v>
      </c>
      <c r="B21" s="7">
        <v>250</v>
      </c>
      <c r="C21" s="8">
        <f t="shared" si="0"/>
        <v>68.662455369404015</v>
      </c>
      <c r="D21" s="12" t="s">
        <v>51</v>
      </c>
      <c r="E21" s="17" t="s">
        <v>52</v>
      </c>
    </row>
    <row r="22" spans="1:5" x14ac:dyDescent="0.25">
      <c r="A22" s="14" t="s">
        <v>50</v>
      </c>
      <c r="B22" s="7">
        <v>200</v>
      </c>
      <c r="C22" s="8">
        <f t="shared" si="0"/>
        <v>54.929964295523206</v>
      </c>
      <c r="D22" s="12" t="s">
        <v>51</v>
      </c>
      <c r="E22" s="17" t="s">
        <v>53</v>
      </c>
    </row>
    <row r="23" spans="1:5" x14ac:dyDescent="0.25">
      <c r="A23" s="16" t="s">
        <v>59</v>
      </c>
      <c r="C23" s="8">
        <f t="shared" si="0"/>
        <v>0</v>
      </c>
      <c r="D23" s="12" t="s">
        <v>60</v>
      </c>
      <c r="E23" s="17" t="s">
        <v>61</v>
      </c>
    </row>
    <row r="24" spans="1:5" x14ac:dyDescent="0.25">
      <c r="A24" s="16" t="s">
        <v>54</v>
      </c>
      <c r="B24" s="10">
        <v>50</v>
      </c>
      <c r="C24" s="8">
        <f t="shared" si="0"/>
        <v>13.732491073880801</v>
      </c>
      <c r="D24" s="12" t="s">
        <v>55</v>
      </c>
      <c r="E24" s="17" t="s">
        <v>56</v>
      </c>
    </row>
    <row r="25" spans="1:5" x14ac:dyDescent="0.25">
      <c r="A25" s="16" t="s">
        <v>57</v>
      </c>
      <c r="B25" s="10">
        <v>45</v>
      </c>
      <c r="C25" s="8">
        <f t="shared" si="0"/>
        <v>12.359241966492721</v>
      </c>
      <c r="D25" s="12" t="s">
        <v>17</v>
      </c>
      <c r="E25" s="17" t="s">
        <v>58</v>
      </c>
    </row>
    <row r="26" spans="1:5" x14ac:dyDescent="0.25">
      <c r="A26" s="16" t="s">
        <v>62</v>
      </c>
      <c r="B26" s="10">
        <v>50</v>
      </c>
      <c r="C26" s="8">
        <f t="shared" si="0"/>
        <v>13.732491073880801</v>
      </c>
      <c r="D26" s="12" t="s">
        <v>17</v>
      </c>
      <c r="E26" s="17" t="s">
        <v>63</v>
      </c>
    </row>
    <row r="27" spans="1:5" x14ac:dyDescent="0.25">
      <c r="A27" s="16" t="s">
        <v>64</v>
      </c>
      <c r="B27" s="10">
        <v>20</v>
      </c>
      <c r="C27" s="8">
        <f t="shared" si="0"/>
        <v>5.4929964295523206</v>
      </c>
      <c r="D27" s="12" t="s">
        <v>17</v>
      </c>
      <c r="E27" s="17" t="s">
        <v>65</v>
      </c>
    </row>
    <row r="28" spans="1:5" x14ac:dyDescent="0.25">
      <c r="A28" s="16" t="s">
        <v>66</v>
      </c>
      <c r="B28" s="10">
        <v>25</v>
      </c>
      <c r="C28" s="8">
        <f t="shared" si="0"/>
        <v>6.8662455369404007</v>
      </c>
      <c r="D28" s="12" t="s">
        <v>17</v>
      </c>
      <c r="E28" s="17" t="s">
        <v>67</v>
      </c>
    </row>
    <row r="29" spans="1:5" x14ac:dyDescent="0.25">
      <c r="A29" s="16" t="s">
        <v>68</v>
      </c>
      <c r="B29" s="10">
        <v>20</v>
      </c>
      <c r="C29" s="8">
        <f t="shared" si="0"/>
        <v>5.4929964295523206</v>
      </c>
      <c r="D29" s="12" t="s">
        <v>17</v>
      </c>
      <c r="E29" s="17" t="s">
        <v>69</v>
      </c>
    </row>
    <row r="30" spans="1:5" x14ac:dyDescent="0.25">
      <c r="A30" s="16" t="s">
        <v>74</v>
      </c>
      <c r="B30" s="10">
        <v>1000</v>
      </c>
      <c r="C30" s="8">
        <f t="shared" si="0"/>
        <v>274.64982147761606</v>
      </c>
      <c r="D30" s="12" t="s">
        <v>75</v>
      </c>
      <c r="E30" s="17" t="s">
        <v>73</v>
      </c>
    </row>
    <row r="31" spans="1:5" x14ac:dyDescent="0.25">
      <c r="A31" s="16" t="s">
        <v>77</v>
      </c>
      <c r="B31" s="10">
        <v>500</v>
      </c>
      <c r="C31" s="8">
        <f t="shared" si="0"/>
        <v>137.32491073880803</v>
      </c>
      <c r="D31" s="12" t="s">
        <v>76</v>
      </c>
      <c r="E31" s="17" t="s">
        <v>78</v>
      </c>
    </row>
    <row r="32" spans="1:5" x14ac:dyDescent="0.25">
      <c r="C32" s="8">
        <f t="shared" si="0"/>
        <v>0</v>
      </c>
    </row>
    <row r="33" spans="1:5" x14ac:dyDescent="0.25">
      <c r="C33" s="8">
        <f t="shared" si="0"/>
        <v>0</v>
      </c>
    </row>
    <row r="34" spans="1:5" x14ac:dyDescent="0.25">
      <c r="C34" s="8">
        <f t="shared" si="0"/>
        <v>0</v>
      </c>
    </row>
    <row r="35" spans="1:5" x14ac:dyDescent="0.25">
      <c r="C35" s="8">
        <f t="shared" si="0"/>
        <v>0</v>
      </c>
    </row>
    <row r="36" spans="1:5" x14ac:dyDescent="0.25">
      <c r="C36" s="8">
        <f t="shared" si="0"/>
        <v>0</v>
      </c>
    </row>
    <row r="37" spans="1:5" x14ac:dyDescent="0.25">
      <c r="C37" s="8">
        <f t="shared" si="0"/>
        <v>0</v>
      </c>
    </row>
    <row r="38" spans="1:5" x14ac:dyDescent="0.25">
      <c r="C38" s="8">
        <f t="shared" si="0"/>
        <v>0</v>
      </c>
    </row>
    <row r="39" spans="1:5" x14ac:dyDescent="0.25">
      <c r="C39" s="8">
        <f t="shared" si="0"/>
        <v>0</v>
      </c>
    </row>
    <row r="40" spans="1:5" x14ac:dyDescent="0.25">
      <c r="A40" s="16" t="s">
        <v>70</v>
      </c>
      <c r="B40" s="10">
        <v>0</v>
      </c>
      <c r="C40" s="8">
        <f t="shared" si="0"/>
        <v>0</v>
      </c>
      <c r="D40" s="12" t="s">
        <v>71</v>
      </c>
      <c r="E40" s="17" t="s">
        <v>72</v>
      </c>
    </row>
    <row r="41" spans="1:5" x14ac:dyDescent="0.25">
      <c r="C41" s="8">
        <f t="shared" si="0"/>
        <v>0</v>
      </c>
    </row>
    <row r="42" spans="1:5" x14ac:dyDescent="0.25">
      <c r="C42" s="8">
        <f t="shared" si="0"/>
        <v>0</v>
      </c>
    </row>
    <row r="43" spans="1:5" x14ac:dyDescent="0.25">
      <c r="C43" s="8">
        <f t="shared" si="0"/>
        <v>0</v>
      </c>
    </row>
    <row r="44" spans="1:5" x14ac:dyDescent="0.25">
      <c r="C44" s="8">
        <f>#REF!/$H$2</f>
        <v>0</v>
      </c>
    </row>
    <row r="45" spans="1:5" x14ac:dyDescent="0.25">
      <c r="C45" s="8">
        <f>#REF!/$H$2</f>
        <v>0</v>
      </c>
    </row>
    <row r="46" spans="1:5" x14ac:dyDescent="0.25">
      <c r="C46" s="8">
        <f>#REF!/$H$2</f>
        <v>0</v>
      </c>
    </row>
    <row r="47" spans="1:5" x14ac:dyDescent="0.25">
      <c r="C47" s="8">
        <f>#REF!/$H$2</f>
        <v>0</v>
      </c>
    </row>
    <row r="48" spans="1:5" x14ac:dyDescent="0.25">
      <c r="C48" s="8">
        <f>#REF!/$H$2</f>
        <v>0</v>
      </c>
    </row>
    <row r="49" spans="3:3" x14ac:dyDescent="0.25">
      <c r="C49" s="8">
        <f>#REF!/$H$2</f>
        <v>0</v>
      </c>
    </row>
    <row r="50" spans="3:3" x14ac:dyDescent="0.25">
      <c r="C50" s="8">
        <f>#REF!/$H$2</f>
        <v>0</v>
      </c>
    </row>
    <row r="51" spans="3:3" x14ac:dyDescent="0.25">
      <c r="C51" s="8">
        <f>#REF!/$H$2</f>
        <v>0</v>
      </c>
    </row>
    <row r="52" spans="3:3" x14ac:dyDescent="0.25">
      <c r="C52" s="8">
        <f>#REF!/$H$2</f>
        <v>0</v>
      </c>
    </row>
    <row r="53" spans="3:3" x14ac:dyDescent="0.25">
      <c r="C53" s="8">
        <f>#REF!/$H$2</f>
        <v>0</v>
      </c>
    </row>
    <row r="54" spans="3:3" x14ac:dyDescent="0.25">
      <c r="C54" s="8">
        <f>#REF!/$H$2</f>
        <v>0</v>
      </c>
    </row>
    <row r="55" spans="3:3" x14ac:dyDescent="0.25">
      <c r="C55" s="8">
        <f>#REF!/$H$2</f>
        <v>0</v>
      </c>
    </row>
    <row r="56" spans="3:3" x14ac:dyDescent="0.25">
      <c r="C56" s="8">
        <f>#REF!/$H$2</f>
        <v>0</v>
      </c>
    </row>
    <row r="57" spans="3:3" x14ac:dyDescent="0.25">
      <c r="C57" s="8">
        <f>#REF!/$H$2</f>
        <v>0</v>
      </c>
    </row>
    <row r="58" spans="3:3" x14ac:dyDescent="0.25">
      <c r="C58" s="8">
        <f>#REF!/$H$2</f>
        <v>0</v>
      </c>
    </row>
    <row r="59" spans="3:3" x14ac:dyDescent="0.25">
      <c r="C59" s="8">
        <f>#REF!/$H$2</f>
        <v>0</v>
      </c>
    </row>
    <row r="60" spans="3:3" x14ac:dyDescent="0.25">
      <c r="C60" s="8">
        <f>#REF!/$H$2</f>
        <v>0</v>
      </c>
    </row>
    <row r="61" spans="3:3" x14ac:dyDescent="0.25">
      <c r="C61" s="8">
        <f>#REF!/$H$2</f>
        <v>0</v>
      </c>
    </row>
    <row r="62" spans="3:3" x14ac:dyDescent="0.25">
      <c r="C62" s="8">
        <f>#REF!/$H$2</f>
        <v>0</v>
      </c>
    </row>
    <row r="63" spans="3:3" x14ac:dyDescent="0.25">
      <c r="C63" s="8">
        <f>#REF!/$H$2</f>
        <v>0</v>
      </c>
    </row>
    <row r="64" spans="3:3" x14ac:dyDescent="0.25">
      <c r="C64" s="8">
        <f>#REF!/$H$2</f>
        <v>0</v>
      </c>
    </row>
    <row r="65" spans="3:3" x14ac:dyDescent="0.25">
      <c r="C65" s="8">
        <f>#REF!/$H$2</f>
        <v>0</v>
      </c>
    </row>
    <row r="66" spans="3:3" x14ac:dyDescent="0.25">
      <c r="C66" s="8">
        <f>#REF!/$H$2</f>
        <v>0</v>
      </c>
    </row>
    <row r="67" spans="3:3" x14ac:dyDescent="0.25">
      <c r="C67" s="8">
        <f>#REF!/$H$2</f>
        <v>0</v>
      </c>
    </row>
    <row r="68" spans="3:3" x14ac:dyDescent="0.25">
      <c r="C68" s="8">
        <f>#REF!/$H$2</f>
        <v>0</v>
      </c>
    </row>
    <row r="69" spans="3:3" x14ac:dyDescent="0.25">
      <c r="C69" s="8">
        <f>#REF!/$H$2</f>
        <v>0</v>
      </c>
    </row>
    <row r="70" spans="3:3" x14ac:dyDescent="0.25">
      <c r="C70" s="8">
        <f>#REF!/$H$2</f>
        <v>0</v>
      </c>
    </row>
    <row r="71" spans="3:3" x14ac:dyDescent="0.25">
      <c r="C71" s="8">
        <f>#REF!/$H$2</f>
        <v>0</v>
      </c>
    </row>
    <row r="72" spans="3:3" x14ac:dyDescent="0.25">
      <c r="C72" s="8">
        <f>#REF!/$H$2</f>
        <v>0</v>
      </c>
    </row>
    <row r="73" spans="3:3" x14ac:dyDescent="0.25">
      <c r="C73" s="8">
        <f>#REF!/$H$2</f>
        <v>0</v>
      </c>
    </row>
  </sheetData>
  <phoneticPr fontId="3" type="noConversion"/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2026-04-08T20:18:48Z</dcterms:created>
  <dcterms:modified xsi:type="dcterms:W3CDTF">2026-05-03T10:06:13Z</dcterms:modified>
</cp:coreProperties>
</file>